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Guide" sheetId="1" state="visible" r:id="rId1"/>
    <sheet xmlns:r="http://schemas.openxmlformats.org/officeDocument/2006/relationships" name="00_Pipeline" sheetId="2" state="visible" r:id="rId2"/>
    <sheet xmlns:r="http://schemas.openxmlformats.org/officeDocument/2006/relationships" name="01_Company_Info" sheetId="3" state="visible" r:id="rId3"/>
    <sheet xmlns:r="http://schemas.openxmlformats.org/officeDocument/2006/relationships" name="02_Income_Raw" sheetId="4" state="visible" r:id="rId4"/>
    <sheet xmlns:r="http://schemas.openxmlformats.org/officeDocument/2006/relationships" name="03_Balance_Raw" sheetId="5" state="visible" r:id="rId5"/>
    <sheet xmlns:r="http://schemas.openxmlformats.org/officeDocument/2006/relationships" name="04_CashFlow_Raw" sheetId="6" state="visible" r:id="rId6"/>
    <sheet xmlns:r="http://schemas.openxmlformats.org/officeDocument/2006/relationships" name="05_Price_1Y" sheetId="7" state="visible" r:id="rId7"/>
    <sheet xmlns:r="http://schemas.openxmlformats.org/officeDocument/2006/relationships" name="15a_Assumptions" sheetId="8" state="visible" r:id="rId8"/>
    <sheet xmlns:r="http://schemas.openxmlformats.org/officeDocument/2006/relationships" name="06_PL_Key_Lines" sheetId="9" state="visible" r:id="rId9"/>
    <sheet xmlns:r="http://schemas.openxmlformats.org/officeDocument/2006/relationships" name="07_Margins" sheetId="10" state="visible" r:id="rId10"/>
    <sheet xmlns:r="http://schemas.openxmlformats.org/officeDocument/2006/relationships" name="08_YoY_Growth" sheetId="11" state="visible" r:id="rId11"/>
    <sheet xmlns:r="http://schemas.openxmlformats.org/officeDocument/2006/relationships" name="09_Expense_Pct" sheetId="12" state="visible" r:id="rId12"/>
    <sheet xmlns:r="http://schemas.openxmlformats.org/officeDocument/2006/relationships" name="10_Margin_Bridge" sheetId="13" state="visible" r:id="rId13"/>
    <sheet xmlns:r="http://schemas.openxmlformats.org/officeDocument/2006/relationships" name="11_CashFlow_FCF" sheetId="14" state="visible" r:id="rId14"/>
    <sheet xmlns:r="http://schemas.openxmlformats.org/officeDocument/2006/relationships" name="12_Working_Capital" sheetId="15" state="visible" r:id="rId15"/>
    <sheet xmlns:r="http://schemas.openxmlformats.org/officeDocument/2006/relationships" name="13_DuPont" sheetId="16" state="visible" r:id="rId16"/>
    <sheet xmlns:r="http://schemas.openxmlformats.org/officeDocument/2006/relationships" name="14_Capital_Structure" sheetId="17" state="visible" r:id="rId17"/>
    <sheet xmlns:r="http://schemas.openxmlformats.org/officeDocument/2006/relationships" name="15_Budget" sheetId="18" state="visible" r:id="rId18"/>
    <sheet xmlns:r="http://schemas.openxmlformats.org/officeDocument/2006/relationships" name="16_Variance" sheetId="19" state="visible" r:id="rId19"/>
    <sheet xmlns:r="http://schemas.openxmlformats.org/officeDocument/2006/relationships" name="16b_Budget_Summary" sheetId="20" state="visible" r:id="rId20"/>
    <sheet xmlns:r="http://schemas.openxmlformats.org/officeDocument/2006/relationships" name="17_Forecast" sheetId="21" state="visible" r:id="rId21"/>
    <sheet xmlns:r="http://schemas.openxmlformats.org/officeDocument/2006/relationships" name="18_Scenarios" sheetId="22" state="visible" r:id="rId22"/>
    <sheet xmlns:r="http://schemas.openxmlformats.org/officeDocument/2006/relationships" name="19_Sensitivity_1Way" sheetId="23" state="visible" r:id="rId23"/>
    <sheet xmlns:r="http://schemas.openxmlformats.org/officeDocument/2006/relationships" name="19b_Sensitivity_2Way" sheetId="24" state="visible" r:id="rId24"/>
    <sheet xmlns:r="http://schemas.openxmlformats.org/officeDocument/2006/relationships" name="20_Tornado" sheetId="25" state="visible" r:id="rId25"/>
    <sheet xmlns:r="http://schemas.openxmlformats.org/officeDocument/2006/relationships" name="21_Executive_Summary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Topic</t>
        </is>
      </c>
      <c r="B1" s="1" t="inlineStr">
        <is>
          <t>Detail</t>
        </is>
      </c>
    </row>
    <row r="2">
      <c r="A2" t="inlineStr">
        <is>
          <t>Tesla Financial Analysis — Excel Learning Workbook</t>
        </is>
      </c>
    </row>
    <row r="3"/>
    <row r="4">
      <c r="A4" t="inlineStr">
        <is>
          <t>如何使用本文件</t>
        </is>
      </c>
    </row>
    <row r="5">
      <c r="A5" t="inlineStr">
        <is>
          <t>1. 02–05 页为 Yahoo Finance 原始数据（数值，勿改结构）</t>
        </is>
      </c>
    </row>
    <row r="6">
      <c r="A6" t="inlineStr">
        <is>
          <t xml:space="preserve">   格式：行 = 科目，列 = 年份</t>
        </is>
      </c>
    </row>
    <row r="7">
      <c r="A7" t="inlineStr">
        <is>
          <t>2. 15a_Assumptions 可修改增长率等假设，分析表会自动重算</t>
        </is>
      </c>
    </row>
    <row r="8">
      <c r="A8" t="inlineStr">
        <is>
          <t>3. 06–20 页均为 Excel 公式，引用 02–04 原始表 + 假设页</t>
        </is>
      </c>
    </row>
    <row r="9">
      <c r="A9" t="inlineStr">
        <is>
          <t xml:space="preserve">   点击单元格查看公式，便于学习 FP&amp;A 建模</t>
        </is>
      </c>
    </row>
    <row r="10">
      <c r="A10" t="inlineStr">
        <is>
          <t>4. 21_Executive_Summary 为 Python 自动生成的文字结论</t>
        </is>
      </c>
    </row>
    <row r="11"/>
    <row r="12">
      <c r="A12" t="inlineStr">
        <is>
          <t>分析流程 (Pipeline)</t>
        </is>
      </c>
      <c r="B12" t="inlineStr">
        <is>
          <t>对应模块</t>
        </is>
      </c>
    </row>
    <row r="13">
      <c r="A13" t="inlineStr">
        <is>
          <t>Step 1: 数据获取</t>
        </is>
      </c>
      <c r="B13" t="inlineStr">
        <is>
          <t>src/data_fetcher.py → 02–05</t>
        </is>
      </c>
    </row>
    <row r="14">
      <c r="A14" t="inlineStr">
        <is>
          <t>Step 2: P&amp;L 分析</t>
        </is>
      </c>
      <c r="B14" t="inlineStr">
        <is>
          <t>src/pl_analysis.py → 06–09</t>
        </is>
      </c>
    </row>
    <row r="15">
      <c r="A15" t="inlineStr">
        <is>
          <t>Step 3: 净利润 Bridge</t>
        </is>
      </c>
      <c r="B15" t="inlineStr">
        <is>
          <t>src/margin_bridge.py → 10</t>
        </is>
      </c>
    </row>
    <row r="16">
      <c r="A16" t="inlineStr">
        <is>
          <t>Step 4: 现金流 &amp; FCF</t>
        </is>
      </c>
      <c r="B16" t="inlineStr">
        <is>
          <t>src/cash_flow_analysis.py → 11</t>
        </is>
      </c>
    </row>
    <row r="17">
      <c r="A17" t="inlineStr">
        <is>
          <t>Step 5: 营运资本 &amp; CCC</t>
        </is>
      </c>
      <c r="B17" t="inlineStr">
        <is>
          <t>src/working_capital.py → 12</t>
        </is>
      </c>
    </row>
    <row r="18">
      <c r="A18" t="inlineStr">
        <is>
          <t>Step 6: DuPont 回报率</t>
        </is>
      </c>
      <c r="B18" t="inlineStr">
        <is>
          <t>src/dupont_analysis.py → 13</t>
        </is>
      </c>
    </row>
    <row r="19">
      <c r="A19" t="inlineStr">
        <is>
          <t>Step 7: 资本结构</t>
        </is>
      </c>
      <c r="B19" t="inlineStr">
        <is>
          <t>src/capital_structure.py → 14</t>
        </is>
      </c>
    </row>
    <row r="20">
      <c r="A20" t="inlineStr">
        <is>
          <t>Step 8: 预算编制</t>
        </is>
      </c>
      <c r="B20" t="inlineStr">
        <is>
          <t>src/budgeting.py → 15, 15a</t>
        </is>
      </c>
    </row>
    <row r="21">
      <c r="A21" t="inlineStr">
        <is>
          <t>Step 9: 预算差异</t>
        </is>
      </c>
      <c r="B21" t="inlineStr">
        <is>
          <t>src/budgeting.py → 16</t>
        </is>
      </c>
    </row>
    <row r="22">
      <c r="A22" t="inlineStr">
        <is>
          <t>Step 10: 收入预测</t>
        </is>
      </c>
      <c r="B22" t="inlineStr">
        <is>
          <t>src/forecasting.py → 17–18</t>
        </is>
      </c>
    </row>
    <row r="23">
      <c r="A23" t="inlineStr">
        <is>
          <t>Step 11: 敏感性分析</t>
        </is>
      </c>
      <c r="B23" t="inlineStr">
        <is>
          <t>src/sensitivity.py → 19–20</t>
        </is>
      </c>
    </row>
    <row r="24">
      <c r="A24" t="inlineStr">
        <is>
          <t>Step 12: 管理层摘要</t>
        </is>
      </c>
      <c r="B24" t="inlineStr">
        <is>
          <t>src/executive_summary.py → 21</t>
        </is>
      </c>
    </row>
    <row r="25"/>
    <row r="26">
      <c r="A26" t="inlineStr">
        <is>
          <t>关键 FP&amp;A 公式速查</t>
        </is>
      </c>
    </row>
    <row r="27">
      <c r="A27" t="inlineStr">
        <is>
          <t>毛利率</t>
        </is>
      </c>
      <c r="B27">
        <f> 毛利 / 营收</f>
        <v/>
      </c>
    </row>
    <row r="28">
      <c r="A28" t="inlineStr">
        <is>
          <t>净利率</t>
        </is>
      </c>
      <c r="B28">
        <f> 净利润 / 营收</f>
        <v/>
      </c>
    </row>
    <row r="29">
      <c r="A29" t="inlineStr">
        <is>
          <t>FCF</t>
        </is>
      </c>
      <c r="B29">
        <f> 经营现金流 - CapEx</f>
        <v/>
      </c>
    </row>
    <row r="30">
      <c r="A30" t="inlineStr">
        <is>
          <t>ROE (DuPont)</t>
        </is>
      </c>
      <c r="B30">
        <f> 净利率 × 资产周转率 × 权益乘数</f>
        <v/>
      </c>
    </row>
    <row r="31">
      <c r="A31" t="inlineStr">
        <is>
          <t>CCC</t>
        </is>
      </c>
      <c r="B31">
        <f> DSO + DIO - DPO</f>
        <v/>
      </c>
    </row>
    <row r="32">
      <c r="A32" t="inlineStr">
        <is>
          <t>预算差异 %</t>
        </is>
      </c>
      <c r="B32">
        <f> (实际 - 预算) / 预算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Module</t>
        </is>
      </c>
      <c r="C1" s="1" t="inlineStr">
        <is>
          <t>Input Data</t>
        </is>
      </c>
      <c r="D1" s="1" t="inlineStr">
        <is>
          <t>Output Metrics</t>
        </is>
      </c>
      <c r="E1" s="1" t="inlineStr">
        <is>
          <t>FP&amp;A Purpose</t>
        </is>
      </c>
    </row>
    <row r="2">
      <c r="A2" t="n">
        <v>1</v>
      </c>
      <c r="B2" t="inlineStr">
        <is>
          <t>data_fetcher</t>
        </is>
      </c>
      <c r="C2" t="inlineStr">
        <is>
          <t>Yahoo Finance API</t>
        </is>
      </c>
      <c r="D2" t="inlineStr">
        <is>
          <t>Income / BS / CF / Prices</t>
        </is>
      </c>
      <c r="E2" t="inlineStr">
        <is>
          <t>获取标准化财报数据</t>
        </is>
      </c>
    </row>
    <row r="3">
      <c r="A3" t="n">
        <v>2</v>
      </c>
      <c r="B3" t="inlineStr">
        <is>
          <t>pl_analysis</t>
        </is>
      </c>
      <c r="C3" t="inlineStr">
        <is>
          <t>Income Statement</t>
        </is>
      </c>
      <c r="D3" t="inlineStr">
        <is>
          <t>Margins, YoY Growth, Expense %</t>
        </is>
      </c>
      <c r="E3" t="inlineStr">
        <is>
          <t>盈利能力与费用结构</t>
        </is>
      </c>
    </row>
    <row r="4">
      <c r="A4" t="n">
        <v>3</v>
      </c>
      <c r="B4" t="inlineStr">
        <is>
          <t>margin_bridge</t>
        </is>
      </c>
      <c r="C4" t="inlineStr">
        <is>
          <t>Income Statement (2 years)</t>
        </is>
      </c>
      <c r="D4" t="inlineStr">
        <is>
          <t>Revenue/Margin/OpEx effects</t>
        </is>
      </c>
      <c r="E4" t="inlineStr">
        <is>
          <t>解释净利润变动原因</t>
        </is>
      </c>
    </row>
    <row r="5">
      <c r="A5" t="n">
        <v>4</v>
      </c>
      <c r="B5" t="inlineStr">
        <is>
          <t>cash_flow_analysis</t>
        </is>
      </c>
      <c r="C5" t="inlineStr">
        <is>
          <t>Cash Flow + Income</t>
        </is>
      </c>
      <c r="D5" t="inlineStr">
        <is>
          <t>OCF, FCF, OCF/NI</t>
        </is>
      </c>
      <c r="E5" t="inlineStr">
        <is>
          <t>盈利质量与流动性</t>
        </is>
      </c>
    </row>
    <row r="6">
      <c r="A6" t="n">
        <v>5</v>
      </c>
      <c r="B6" t="inlineStr">
        <is>
          <t>working_capital</t>
        </is>
      </c>
      <c r="C6" t="inlineStr">
        <is>
          <t>BS + Income</t>
        </is>
      </c>
      <c r="D6" t="inlineStr">
        <is>
          <t>DSO, DIO, DPO, CCC</t>
        </is>
      </c>
      <c r="E6" t="inlineStr">
        <is>
          <t>营运资本效率</t>
        </is>
      </c>
    </row>
    <row r="7">
      <c r="A7" t="n">
        <v>6</v>
      </c>
      <c r="B7" t="inlineStr">
        <is>
          <t>dupont_analysis</t>
        </is>
      </c>
      <c r="C7" t="inlineStr">
        <is>
          <t>BS + Income</t>
        </is>
      </c>
      <c r="D7" t="inlineStr">
        <is>
          <t>ROE, ROA, ROIC decomposition</t>
        </is>
      </c>
      <c r="E7" t="inlineStr">
        <is>
          <t>股东回报驱动因素</t>
        </is>
      </c>
    </row>
    <row r="8">
      <c r="A8" t="n">
        <v>7</v>
      </c>
      <c r="B8" t="inlineStr">
        <is>
          <t>capital_structure</t>
        </is>
      </c>
      <c r="C8" t="inlineStr">
        <is>
          <t>BS + Income</t>
        </is>
      </c>
      <c r="D8" t="inlineStr">
        <is>
          <t>Net Debt, Leverage, Coverage</t>
        </is>
      </c>
      <c r="E8" t="inlineStr">
        <is>
          <t>资本结构与偿债能力</t>
        </is>
      </c>
    </row>
    <row r="9">
      <c r="A9" t="n">
        <v>8</v>
      </c>
      <c r="B9" t="inlineStr">
        <is>
          <t>budgeting</t>
        </is>
      </c>
      <c r="C9" t="inlineStr">
        <is>
          <t>Historical Income + Assumptions</t>
        </is>
      </c>
      <c r="D9" t="inlineStr">
        <is>
          <t>Forward budget</t>
        </is>
      </c>
      <c r="E9" t="inlineStr">
        <is>
          <t>年度预算编制</t>
        </is>
      </c>
    </row>
    <row r="10">
      <c r="A10" t="n">
        <v>9</v>
      </c>
      <c r="B10" t="inlineStr">
        <is>
          <t>budgeting (variance)</t>
        </is>
      </c>
      <c r="C10" t="inlineStr">
        <is>
          <t>Budget vs Actual</t>
        </is>
      </c>
      <c r="D10" t="inlineStr">
        <is>
          <t>Variance %, Favorable/Unfavorable</t>
        </is>
      </c>
      <c r="E10" t="inlineStr">
        <is>
          <t>预算执行监控</t>
        </is>
      </c>
    </row>
    <row r="11">
      <c r="A11" t="n">
        <v>10</v>
      </c>
      <c r="B11" t="inlineStr">
        <is>
          <t>forecasting</t>
        </is>
      </c>
      <c r="C11" t="inlineStr">
        <is>
          <t>Historical Revenue + Assumptions</t>
        </is>
      </c>
      <c r="D11" t="inlineStr">
        <is>
          <t>Base forecast + Scenarios</t>
        </is>
      </c>
      <c r="E11" t="inlineStr">
        <is>
          <t>滚动预测与情景规划</t>
        </is>
      </c>
    </row>
    <row r="12">
      <c r="A12" t="n">
        <v>11</v>
      </c>
      <c r="B12" t="inlineStr">
        <is>
          <t>sensitivity</t>
        </is>
      </c>
      <c r="C12" t="inlineStr">
        <is>
          <t>Latest year actuals</t>
        </is>
      </c>
      <c r="D12" t="inlineStr">
        <is>
          <t>Tornado, One-way tables</t>
        </is>
      </c>
      <c r="E12" t="inlineStr">
        <is>
          <t>风险与驱动因素测试</t>
        </is>
      </c>
    </row>
    <row r="13">
      <c r="A13" t="n">
        <v>12</v>
      </c>
      <c r="B13" t="inlineStr">
        <is>
          <t>executive_summary</t>
        </is>
      </c>
      <c r="C13" t="inlineStr">
        <is>
          <t>All above</t>
        </is>
      </c>
      <c r="D13" t="inlineStr">
        <is>
          <t>Narrative report</t>
        </is>
      </c>
      <c r="E13" t="inlineStr">
        <is>
          <t>管理层汇报材料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Value</t>
        </is>
      </c>
    </row>
    <row r="2">
      <c r="A2" s="1" t="inlineStr">
        <is>
          <t>name</t>
        </is>
      </c>
      <c r="B2" t="inlineStr">
        <is>
          <t>Tesla, Inc.</t>
        </is>
      </c>
    </row>
    <row r="3">
      <c r="A3" s="1" t="inlineStr">
        <is>
          <t>sector</t>
        </is>
      </c>
      <c r="B3" t="inlineStr">
        <is>
          <t>Consumer Cyclical</t>
        </is>
      </c>
    </row>
    <row r="4">
      <c r="A4" s="1" t="inlineStr">
        <is>
          <t>industry</t>
        </is>
      </c>
      <c r="B4" t="inlineStr">
        <is>
          <t>Auto Manufacturers</t>
        </is>
      </c>
    </row>
    <row r="5">
      <c r="A5" s="1" t="inlineStr">
        <is>
          <t>employees</t>
        </is>
      </c>
      <c r="B5" t="n">
        <v>134785</v>
      </c>
    </row>
    <row r="6">
      <c r="A6" s="1" t="inlineStr">
        <is>
          <t>market_cap</t>
        </is>
      </c>
      <c r="B6" t="n">
        <v>1488693755904</v>
      </c>
    </row>
    <row r="7">
      <c r="A7" s="1" t="inlineStr">
        <is>
          <t>currency</t>
        </is>
      </c>
      <c r="B7" t="inlineStr">
        <is>
          <t>USD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n">
        <v>2021</v>
      </c>
      <c r="C1" s="1" t="n">
        <v>2022</v>
      </c>
      <c r="D1" s="1" t="n">
        <v>2023</v>
      </c>
      <c r="E1" s="1" t="n">
        <v>2024</v>
      </c>
      <c r="F1" s="1" t="n">
        <v>2025</v>
      </c>
    </row>
    <row r="2">
      <c r="A2" s="1" t="inlineStr">
        <is>
          <t>Total Revenue</t>
        </is>
      </c>
      <c r="C2" t="n">
        <v>81462000000</v>
      </c>
      <c r="D2" t="n">
        <v>96773000000</v>
      </c>
      <c r="E2" t="n">
        <v>97690000000</v>
      </c>
      <c r="F2" t="n">
        <v>94827000000</v>
      </c>
    </row>
    <row r="3">
      <c r="A3" s="1" t="inlineStr">
        <is>
          <t>Operating Revenue</t>
        </is>
      </c>
      <c r="C3" t="n">
        <v>81462000000</v>
      </c>
      <c r="D3" t="n">
        <v>96773000000</v>
      </c>
      <c r="E3" t="n">
        <v>97690000000</v>
      </c>
      <c r="F3" t="n">
        <v>94827000000</v>
      </c>
    </row>
    <row r="4">
      <c r="A4" s="1" t="inlineStr">
        <is>
          <t>Cost Of Revenue</t>
        </is>
      </c>
      <c r="C4" t="n">
        <v>60609000000</v>
      </c>
      <c r="D4" t="n">
        <v>79113000000</v>
      </c>
      <c r="E4" t="n">
        <v>80240000000</v>
      </c>
      <c r="F4" t="n">
        <v>77733000000</v>
      </c>
    </row>
    <row r="5">
      <c r="A5" s="1" t="inlineStr">
        <is>
          <t>Gross Profit</t>
        </is>
      </c>
      <c r="C5" t="n">
        <v>20853000000</v>
      </c>
      <c r="D5" t="n">
        <v>17660000000</v>
      </c>
      <c r="E5" t="n">
        <v>17450000000</v>
      </c>
      <c r="F5" t="n">
        <v>17094000000</v>
      </c>
    </row>
    <row r="6">
      <c r="A6" s="1" t="inlineStr">
        <is>
          <t>Operating Expense</t>
        </is>
      </c>
      <c r="C6" t="n">
        <v>7021000000</v>
      </c>
      <c r="D6" t="n">
        <v>8769000000</v>
      </c>
      <c r="E6" t="n">
        <v>9690000000</v>
      </c>
      <c r="F6" t="n">
        <v>12245000000</v>
      </c>
    </row>
    <row r="7">
      <c r="A7" s="1" t="inlineStr">
        <is>
          <t>Research And Development</t>
        </is>
      </c>
      <c r="C7" t="n">
        <v>3075000000</v>
      </c>
      <c r="D7" t="n">
        <v>3969000000</v>
      </c>
      <c r="E7" t="n">
        <v>4540000000</v>
      </c>
      <c r="F7" t="n">
        <v>6411000000</v>
      </c>
    </row>
    <row r="8">
      <c r="A8" s="1" t="inlineStr">
        <is>
          <t>Selling General And Administration</t>
        </is>
      </c>
      <c r="C8" t="n">
        <v>3946000000</v>
      </c>
      <c r="D8" t="n">
        <v>4800000000</v>
      </c>
      <c r="E8" t="n">
        <v>5150000000</v>
      </c>
      <c r="F8" t="n">
        <v>5834000000</v>
      </c>
    </row>
    <row r="9">
      <c r="A9" s="1" t="inlineStr">
        <is>
          <t>Operating Income</t>
        </is>
      </c>
      <c r="C9" t="n">
        <v>13832000000</v>
      </c>
      <c r="D9" t="n">
        <v>8891000000</v>
      </c>
      <c r="E9" t="n">
        <v>7760000000</v>
      </c>
      <c r="F9" t="n">
        <v>4849000000</v>
      </c>
    </row>
    <row r="10">
      <c r="A10" s="1" t="inlineStr">
        <is>
          <t>EBITDA</t>
        </is>
      </c>
      <c r="C10" t="n">
        <v>17657000000</v>
      </c>
      <c r="D10" t="n">
        <v>14796000000</v>
      </c>
      <c r="E10" t="n">
        <v>14708000000</v>
      </c>
      <c r="F10" t="n">
        <v>11764000000</v>
      </c>
    </row>
    <row r="11">
      <c r="A11" s="1" t="inlineStr">
        <is>
          <t>EBIT</t>
        </is>
      </c>
      <c r="C11" t="n">
        <v>13910000000</v>
      </c>
      <c r="D11" t="n">
        <v>10129000000</v>
      </c>
      <c r="E11" t="n">
        <v>9340000000</v>
      </c>
      <c r="F11" t="n">
        <v>5616000000</v>
      </c>
    </row>
    <row r="12">
      <c r="A12" s="1" t="inlineStr">
        <is>
          <t>Interest Expense</t>
        </is>
      </c>
      <c r="C12" t="n">
        <v>191000000</v>
      </c>
      <c r="D12" t="n">
        <v>156000000</v>
      </c>
      <c r="E12" t="n">
        <v>350000000</v>
      </c>
      <c r="F12" t="n">
        <v>338000000</v>
      </c>
    </row>
    <row r="13">
      <c r="A13" s="1" t="inlineStr">
        <is>
          <t>Interest Income</t>
        </is>
      </c>
      <c r="C13" t="n">
        <v>297000000</v>
      </c>
      <c r="D13" t="n">
        <v>1066000000</v>
      </c>
      <c r="E13" t="n">
        <v>1569000000</v>
      </c>
      <c r="F13" t="n">
        <v>1680000000</v>
      </c>
    </row>
    <row r="14">
      <c r="A14" s="1" t="inlineStr">
        <is>
          <t>Pretax Income</t>
        </is>
      </c>
      <c r="C14" t="n">
        <v>13719000000</v>
      </c>
      <c r="D14" t="n">
        <v>9973000000</v>
      </c>
      <c r="E14" t="n">
        <v>8990000000</v>
      </c>
      <c r="F14" t="n">
        <v>5278000000</v>
      </c>
    </row>
    <row r="15">
      <c r="A15" s="1" t="inlineStr">
        <is>
          <t>Tax Provision</t>
        </is>
      </c>
      <c r="C15" t="n">
        <v>1132000000</v>
      </c>
      <c r="D15" t="n">
        <v>-5001000000</v>
      </c>
      <c r="E15" t="n">
        <v>1837000000</v>
      </c>
      <c r="F15" t="n">
        <v>1423000000</v>
      </c>
    </row>
    <row r="16">
      <c r="A16" s="1" t="inlineStr">
        <is>
          <t>Net Income</t>
        </is>
      </c>
      <c r="C16" t="n">
        <v>12583000000</v>
      </c>
      <c r="D16" t="n">
        <v>14999000000</v>
      </c>
      <c r="E16" t="n">
        <v>7130000000</v>
      </c>
      <c r="F16" t="n">
        <v>3794000000</v>
      </c>
    </row>
    <row r="17">
      <c r="A17" s="1" t="inlineStr">
        <is>
          <t>Basic EPS</t>
        </is>
      </c>
      <c r="C17" t="n">
        <v>4.02</v>
      </c>
      <c r="D17" t="n">
        <v>4.725697</v>
      </c>
      <c r="E17" t="n">
        <v>2.23</v>
      </c>
      <c r="F17" t="n">
        <v>1.176525</v>
      </c>
    </row>
    <row r="18">
      <c r="A18" s="1" t="inlineStr">
        <is>
          <t>Diluted EPS</t>
        </is>
      </c>
      <c r="C18" t="n">
        <v>3.62</v>
      </c>
      <c r="D18" t="n">
        <v>4.31</v>
      </c>
      <c r="E18" t="n">
        <v>2.04</v>
      </c>
      <c r="F18" t="n">
        <v>1.08</v>
      </c>
    </row>
    <row r="19">
      <c r="A19" s="1" t="inlineStr">
        <is>
          <t>Average Dilution Earnings</t>
        </is>
      </c>
      <c r="B19" t="n">
        <v>9000000</v>
      </c>
      <c r="C19" t="n">
        <v>1000000</v>
      </c>
      <c r="D19" t="n">
        <v>0</v>
      </c>
      <c r="E19" t="n">
        <v>0</v>
      </c>
    </row>
    <row r="20">
      <c r="A20" s="1" t="inlineStr">
        <is>
          <t>Basic Average Shares</t>
        </is>
      </c>
      <c r="C20" t="n">
        <v>3130000000</v>
      </c>
      <c r="D20" t="n">
        <v>3173500000</v>
      </c>
      <c r="E20" t="n">
        <v>3216000000</v>
      </c>
      <c r="F20" t="n">
        <v>3224750000</v>
      </c>
    </row>
    <row r="21">
      <c r="A21" s="1" t="inlineStr">
        <is>
          <t>Diluted Average Shares</t>
        </is>
      </c>
      <c r="C21" t="n">
        <v>3475000000</v>
      </c>
      <c r="D21" t="n">
        <v>3482750000</v>
      </c>
      <c r="E21" t="n">
        <v>3216000000</v>
      </c>
      <c r="F21" t="n">
        <v>3526250000</v>
      </c>
    </row>
    <row r="22">
      <c r="A22" s="1" t="inlineStr">
        <is>
          <t>Diluted NI Availto Com Stockholders</t>
        </is>
      </c>
      <c r="C22" t="n">
        <v>12584000000</v>
      </c>
      <c r="D22" t="n">
        <v>14999000000</v>
      </c>
      <c r="E22" t="n">
        <v>7130000000</v>
      </c>
      <c r="F22" t="n">
        <v>3794000000</v>
      </c>
    </row>
    <row r="23">
      <c r="A23" s="1" t="inlineStr">
        <is>
          <t>Interest Expense Non Operating</t>
        </is>
      </c>
      <c r="C23" t="n">
        <v>191000000</v>
      </c>
      <c r="D23" t="n">
        <v>156000000</v>
      </c>
      <c r="E23" t="n">
        <v>350000000</v>
      </c>
      <c r="F23" t="n">
        <v>338000000</v>
      </c>
    </row>
    <row r="24">
      <c r="A24" s="1" t="inlineStr">
        <is>
          <t>Interest Income Non Operating</t>
        </is>
      </c>
      <c r="C24" t="n">
        <v>297000000</v>
      </c>
      <c r="D24" t="n">
        <v>1066000000</v>
      </c>
      <c r="E24" t="n">
        <v>1569000000</v>
      </c>
      <c r="F24" t="n">
        <v>1680000000</v>
      </c>
    </row>
    <row r="25">
      <c r="A25" s="1" t="inlineStr">
        <is>
          <t>Minority Interests</t>
        </is>
      </c>
      <c r="C25" t="n">
        <v>-4000000</v>
      </c>
      <c r="D25" t="n">
        <v>25000000</v>
      </c>
      <c r="E25" t="n">
        <v>-23000000</v>
      </c>
      <c r="F25" t="n">
        <v>-61000000</v>
      </c>
    </row>
    <row r="26">
      <c r="A26" s="1" t="inlineStr">
        <is>
          <t>Net Income Common Stockholders</t>
        </is>
      </c>
      <c r="C26" t="n">
        <v>12583000000</v>
      </c>
      <c r="D26" t="n">
        <v>14999000000</v>
      </c>
      <c r="E26" t="n">
        <v>7130000000</v>
      </c>
      <c r="F26" t="n">
        <v>3794000000</v>
      </c>
    </row>
    <row r="27">
      <c r="A27" s="1" t="inlineStr">
        <is>
          <t>Net Income Continuous Operations</t>
        </is>
      </c>
      <c r="C27" t="n">
        <v>12587000000</v>
      </c>
      <c r="D27" t="n">
        <v>14974000000</v>
      </c>
      <c r="E27" t="n">
        <v>7153000000</v>
      </c>
      <c r="F27" t="n">
        <v>3855000000</v>
      </c>
    </row>
    <row r="28">
      <c r="A28" s="1" t="inlineStr">
        <is>
          <t>Net Income From Continuing And Discontinued Operation</t>
        </is>
      </c>
      <c r="C28" t="n">
        <v>12583000000</v>
      </c>
      <c r="D28" t="n">
        <v>14999000000</v>
      </c>
      <c r="E28" t="n">
        <v>7130000000</v>
      </c>
      <c r="F28" t="n">
        <v>3794000000</v>
      </c>
    </row>
    <row r="29">
      <c r="A29" s="1" t="inlineStr">
        <is>
          <t>Net Income From Continuing Operation Net Minority Interest</t>
        </is>
      </c>
      <c r="C29" t="n">
        <v>12583000000</v>
      </c>
      <c r="D29" t="n">
        <v>14999000000</v>
      </c>
      <c r="E29" t="n">
        <v>7130000000</v>
      </c>
      <c r="F29" t="n">
        <v>3794000000</v>
      </c>
    </row>
    <row r="30">
      <c r="A30" s="1" t="inlineStr">
        <is>
          <t>Net Income Including Noncontrolling Interests</t>
        </is>
      </c>
      <c r="C30" t="n">
        <v>12587000000</v>
      </c>
      <c r="D30" t="n">
        <v>14974000000</v>
      </c>
      <c r="E30" t="n">
        <v>7153000000</v>
      </c>
      <c r="F30" t="n">
        <v>3855000000</v>
      </c>
    </row>
    <row r="31">
      <c r="A31" s="1" t="inlineStr">
        <is>
          <t>Net Interest Income</t>
        </is>
      </c>
      <c r="C31" t="n">
        <v>106000000</v>
      </c>
      <c r="D31" t="n">
        <v>910000000</v>
      </c>
      <c r="E31" t="n">
        <v>1219000000</v>
      </c>
      <c r="F31" t="n">
        <v>1342000000</v>
      </c>
    </row>
    <row r="32">
      <c r="A32" s="1" t="inlineStr">
        <is>
          <t>Net Non Operating Interest Income Expense</t>
        </is>
      </c>
      <c r="C32" t="n">
        <v>106000000</v>
      </c>
      <c r="D32" t="n">
        <v>910000000</v>
      </c>
      <c r="E32" t="n">
        <v>1219000000</v>
      </c>
      <c r="F32" t="n">
        <v>1342000000</v>
      </c>
    </row>
    <row r="33">
      <c r="A33" s="1" t="inlineStr">
        <is>
          <t>Normalized EBITDA</t>
        </is>
      </c>
      <c r="C33" t="n">
        <v>17833000000</v>
      </c>
      <c r="D33" t="n">
        <v>14796000000</v>
      </c>
      <c r="E33" t="n">
        <v>15392000000</v>
      </c>
      <c r="F33" t="n">
        <v>12258000000</v>
      </c>
    </row>
    <row r="34">
      <c r="A34" s="1" t="inlineStr">
        <is>
          <t>Normalized Income</t>
        </is>
      </c>
      <c r="C34" t="n">
        <v>12744920000</v>
      </c>
      <c r="D34" t="n">
        <v>14999000000</v>
      </c>
      <c r="E34" t="n">
        <v>7677200000</v>
      </c>
      <c r="F34" t="n">
        <v>4154620000</v>
      </c>
    </row>
    <row r="35">
      <c r="A35" s="1" t="inlineStr">
        <is>
          <t>Other Income Expense</t>
        </is>
      </c>
      <c r="C35" t="n">
        <v>-219000000</v>
      </c>
      <c r="D35" t="n">
        <v>172000000</v>
      </c>
      <c r="E35" t="n">
        <v>11000000</v>
      </c>
      <c r="F35" t="n">
        <v>-913000000</v>
      </c>
    </row>
    <row r="36">
      <c r="A36" s="1" t="inlineStr">
        <is>
          <t>Other Non Operating Income Expenses</t>
        </is>
      </c>
      <c r="C36" t="n">
        <v>-43000000</v>
      </c>
      <c r="D36" t="n">
        <v>172000000</v>
      </c>
      <c r="E36" t="n">
        <v>695000000</v>
      </c>
      <c r="F36" t="n">
        <v>-419000000</v>
      </c>
    </row>
    <row r="37">
      <c r="A37" s="1" t="inlineStr">
        <is>
          <t>Otherunder Preferred Stock Dividend</t>
        </is>
      </c>
      <c r="B37" t="n">
        <v>-5000000</v>
      </c>
    </row>
    <row r="38">
      <c r="A38" s="1" t="inlineStr">
        <is>
          <t>Reconciled Cost Of Revenue</t>
        </is>
      </c>
      <c r="C38" t="n">
        <v>60609000000</v>
      </c>
      <c r="D38" t="n">
        <v>79113000000</v>
      </c>
      <c r="E38" t="n">
        <v>80240000000</v>
      </c>
      <c r="F38" t="n">
        <v>77733000000</v>
      </c>
    </row>
    <row r="39">
      <c r="A39" s="1" t="inlineStr">
        <is>
          <t>Reconciled Depreciation</t>
        </is>
      </c>
      <c r="C39" t="n">
        <v>3747000000</v>
      </c>
      <c r="D39" t="n">
        <v>4667000000</v>
      </c>
      <c r="E39" t="n">
        <v>5368000000</v>
      </c>
      <c r="F39" t="n">
        <v>6148000000</v>
      </c>
    </row>
    <row r="40">
      <c r="A40" s="1" t="inlineStr">
        <is>
          <t>Rent Expense Supplemental</t>
        </is>
      </c>
      <c r="B40" t="n">
        <v>978000000</v>
      </c>
      <c r="C40" t="n">
        <v>1509000000</v>
      </c>
      <c r="D40" t="n">
        <v>1268000000</v>
      </c>
      <c r="E40" t="n">
        <v>1003000000</v>
      </c>
    </row>
    <row r="41">
      <c r="A41" s="1" t="inlineStr">
        <is>
          <t>Restructuring And Mergern Acquisition</t>
        </is>
      </c>
      <c r="C41" t="n">
        <v>176000000</v>
      </c>
      <c r="D41" t="n">
        <v>0</v>
      </c>
      <c r="E41" t="n">
        <v>684000000</v>
      </c>
      <c r="F41" t="n">
        <v>494000000</v>
      </c>
    </row>
    <row r="42">
      <c r="A42" s="1" t="inlineStr">
        <is>
          <t>Special Income Charges</t>
        </is>
      </c>
      <c r="C42" t="n">
        <v>-176000000</v>
      </c>
      <c r="D42" t="n">
        <v>0</v>
      </c>
      <c r="E42" t="n">
        <v>-684000000</v>
      </c>
      <c r="F42" t="n">
        <v>-494000000</v>
      </c>
    </row>
    <row r="43">
      <c r="A43" s="1" t="inlineStr">
        <is>
          <t>Tax Effect Of Unusual Items</t>
        </is>
      </c>
      <c r="C43" t="n">
        <v>-14080000</v>
      </c>
      <c r="D43" t="n">
        <v>0</v>
      </c>
      <c r="E43" t="n">
        <v>-136800000</v>
      </c>
      <c r="F43" t="n">
        <v>-133380000</v>
      </c>
    </row>
    <row r="44">
      <c r="A44" s="1" t="inlineStr">
        <is>
          <t>Tax Rate For Calcs</t>
        </is>
      </c>
      <c r="C44" t="n">
        <v>0.08</v>
      </c>
      <c r="D44" t="n">
        <v>0.21</v>
      </c>
      <c r="E44" t="n">
        <v>0.2</v>
      </c>
      <c r="F44" t="n">
        <v>0.27</v>
      </c>
    </row>
    <row r="45">
      <c r="A45" s="1" t="inlineStr">
        <is>
          <t>Total Expenses</t>
        </is>
      </c>
      <c r="C45" t="n">
        <v>67630000000</v>
      </c>
      <c r="D45" t="n">
        <v>87882000000</v>
      </c>
      <c r="E45" t="n">
        <v>89930000000</v>
      </c>
      <c r="F45" t="n">
        <v>89978000000</v>
      </c>
    </row>
    <row r="46">
      <c r="A46" s="1" t="inlineStr">
        <is>
          <t>Total Operating Income As Reported</t>
        </is>
      </c>
      <c r="C46" t="n">
        <v>13656000000</v>
      </c>
      <c r="D46" t="n">
        <v>8891000000</v>
      </c>
      <c r="E46" t="n">
        <v>7076000000</v>
      </c>
      <c r="F46" t="n">
        <v>4355000000</v>
      </c>
    </row>
    <row r="47">
      <c r="A47" s="1" t="inlineStr">
        <is>
          <t>Total Unusual Items</t>
        </is>
      </c>
      <c r="C47" t="n">
        <v>-176000000</v>
      </c>
      <c r="D47" t="n">
        <v>0</v>
      </c>
      <c r="E47" t="n">
        <v>-684000000</v>
      </c>
      <c r="F47" t="n">
        <v>-494000000</v>
      </c>
    </row>
    <row r="48">
      <c r="A48" s="1" t="inlineStr">
        <is>
          <t>Total Unusual Items Excluding Goodwill</t>
        </is>
      </c>
      <c r="C48" t="n">
        <v>-176000000</v>
      </c>
      <c r="D48" t="n">
        <v>0</v>
      </c>
      <c r="E48" t="n">
        <v>-684000000</v>
      </c>
      <c r="F48" t="n">
        <v>-494000000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n">
        <v>2021</v>
      </c>
      <c r="C1" s="1" t="n">
        <v>2022</v>
      </c>
      <c r="D1" s="1" t="n">
        <v>2023</v>
      </c>
      <c r="E1" s="1" t="n">
        <v>2024</v>
      </c>
      <c r="F1" s="1" t="n">
        <v>2025</v>
      </c>
    </row>
    <row r="2">
      <c r="A2" s="1" t="inlineStr">
        <is>
          <t>Treasury Shares Number</t>
        </is>
      </c>
      <c r="D2" t="n">
        <v>0</v>
      </c>
    </row>
    <row r="3">
      <c r="A3" s="1" t="inlineStr">
        <is>
          <t>Ordinary Shares Number</t>
        </is>
      </c>
      <c r="C3" t="n">
        <v>3164000000</v>
      </c>
      <c r="D3" t="n">
        <v>3185000000</v>
      </c>
      <c r="E3" t="n">
        <v>3216000000</v>
      </c>
      <c r="F3" t="n">
        <v>3751000000</v>
      </c>
    </row>
    <row r="4">
      <c r="A4" s="1" t="inlineStr">
        <is>
          <t>Share Issued</t>
        </is>
      </c>
      <c r="C4" t="n">
        <v>3164000000</v>
      </c>
      <c r="D4" t="n">
        <v>3185000000</v>
      </c>
      <c r="E4" t="n">
        <v>3216000000</v>
      </c>
      <c r="F4" t="n">
        <v>3751000000</v>
      </c>
    </row>
    <row r="5">
      <c r="A5" s="1" t="inlineStr">
        <is>
          <t>Total Debt</t>
        </is>
      </c>
      <c r="C5" t="n">
        <v>5748000000</v>
      </c>
      <c r="D5" t="n">
        <v>9573000000</v>
      </c>
      <c r="E5" t="n">
        <v>13623000000</v>
      </c>
      <c r="F5" t="n">
        <v>14719000000</v>
      </c>
    </row>
    <row r="6">
      <c r="A6" s="1" t="inlineStr">
        <is>
          <t>Tangible Book Value</t>
        </is>
      </c>
      <c r="C6" t="n">
        <v>44111000000</v>
      </c>
      <c r="D6" t="n">
        <v>62019000000</v>
      </c>
      <c r="E6" t="n">
        <v>71443000000</v>
      </c>
      <c r="F6" t="n">
        <v>80748000000</v>
      </c>
    </row>
    <row r="7">
      <c r="A7" s="1" t="inlineStr">
        <is>
          <t>Invested Capital</t>
        </is>
      </c>
      <c r="C7" t="n">
        <v>46749000000</v>
      </c>
      <c r="D7" t="n">
        <v>67291000000</v>
      </c>
      <c r="E7" t="n">
        <v>80791000000</v>
      </c>
      <c r="F7" t="n">
        <v>90290000000</v>
      </c>
    </row>
    <row r="8">
      <c r="A8" s="1" t="inlineStr">
        <is>
          <t>Working Capital</t>
        </is>
      </c>
      <c r="C8" t="n">
        <v>14208000000</v>
      </c>
      <c r="D8" t="n">
        <v>20868000000</v>
      </c>
      <c r="E8" t="n">
        <v>29539000000</v>
      </c>
      <c r="F8" t="n">
        <v>36928000000</v>
      </c>
    </row>
    <row r="9">
      <c r="A9" s="1" t="inlineStr">
        <is>
          <t>Net Tangible Assets</t>
        </is>
      </c>
      <c r="C9" t="n">
        <v>44111000000</v>
      </c>
      <c r="D9" t="n">
        <v>62019000000</v>
      </c>
      <c r="E9" t="n">
        <v>71443000000</v>
      </c>
      <c r="F9" t="n">
        <v>80748000000</v>
      </c>
    </row>
    <row r="10">
      <c r="A10" s="1" t="inlineStr">
        <is>
          <t>Capital Lease Obligations</t>
        </is>
      </c>
      <c r="C10" t="n">
        <v>3703000000</v>
      </c>
      <c r="D10" t="n">
        <v>4916000000</v>
      </c>
      <c r="E10" t="n">
        <v>5745000000</v>
      </c>
      <c r="F10" t="n">
        <v>6566000000</v>
      </c>
    </row>
    <row r="11">
      <c r="A11" s="1" t="inlineStr">
        <is>
          <t>Common Stock Equity</t>
        </is>
      </c>
      <c r="C11" t="n">
        <v>44704000000</v>
      </c>
      <c r="D11" t="n">
        <v>62634000000</v>
      </c>
      <c r="E11" t="n">
        <v>72913000000</v>
      </c>
      <c r="F11" t="n">
        <v>82137000000</v>
      </c>
    </row>
    <row r="12">
      <c r="A12" s="1" t="inlineStr">
        <is>
          <t>Total Capitalization</t>
        </is>
      </c>
      <c r="C12" t="n">
        <v>45733000000</v>
      </c>
      <c r="D12" t="n">
        <v>65316000000</v>
      </c>
      <c r="E12" t="n">
        <v>78448000000</v>
      </c>
      <c r="F12" t="n">
        <v>88721000000</v>
      </c>
    </row>
    <row r="13">
      <c r="A13" s="1" t="inlineStr">
        <is>
          <t>Total Equity Gross Minority Interest</t>
        </is>
      </c>
      <c r="C13" t="n">
        <v>45898000000</v>
      </c>
      <c r="D13" t="n">
        <v>63609000000</v>
      </c>
      <c r="E13" t="n">
        <v>73680000000</v>
      </c>
      <c r="F13" t="n">
        <v>82865000000</v>
      </c>
    </row>
    <row r="14">
      <c r="A14" s="1" t="inlineStr">
        <is>
          <t>Minority Interest</t>
        </is>
      </c>
      <c r="C14" t="n">
        <v>1194000000</v>
      </c>
      <c r="D14" t="n">
        <v>975000000</v>
      </c>
      <c r="E14" t="n">
        <v>767000000</v>
      </c>
      <c r="F14" t="n">
        <v>728000000</v>
      </c>
    </row>
    <row r="15">
      <c r="A15" s="1" t="inlineStr">
        <is>
          <t>Stockholders Equity</t>
        </is>
      </c>
      <c r="C15" t="n">
        <v>44704000000</v>
      </c>
      <c r="D15" t="n">
        <v>62634000000</v>
      </c>
      <c r="E15" t="n">
        <v>72913000000</v>
      </c>
      <c r="F15" t="n">
        <v>82137000000</v>
      </c>
    </row>
    <row r="16">
      <c r="A16" s="1" t="inlineStr">
        <is>
          <t>Gains Losses Not Affecting Retained Earnings</t>
        </is>
      </c>
      <c r="C16" t="n">
        <v>-361000000</v>
      </c>
      <c r="D16" t="n">
        <v>-143000000</v>
      </c>
      <c r="E16" t="n">
        <v>-670000000</v>
      </c>
      <c r="F16" t="n">
        <v>361000000</v>
      </c>
    </row>
    <row r="17">
      <c r="A17" s="1" t="inlineStr">
        <is>
          <t>Other Equity Adjustments</t>
        </is>
      </c>
      <c r="C17" t="n">
        <v>-361000000</v>
      </c>
      <c r="D17" t="n">
        <v>-143000000</v>
      </c>
      <c r="E17" t="n">
        <v>-670000000</v>
      </c>
      <c r="F17" t="n">
        <v>361000000</v>
      </c>
    </row>
    <row r="18">
      <c r="A18" s="1" t="inlineStr">
        <is>
          <t>Retained Earnings</t>
        </is>
      </c>
      <c r="C18" t="n">
        <v>12885000000</v>
      </c>
      <c r="D18" t="n">
        <v>27882000000</v>
      </c>
      <c r="E18" t="n">
        <v>35209000000</v>
      </c>
      <c r="F18" t="n">
        <v>39003000000</v>
      </c>
    </row>
    <row r="19">
      <c r="A19" s="1" t="inlineStr">
        <is>
          <t>Additional Paid In Capital</t>
        </is>
      </c>
      <c r="C19" t="n">
        <v>32177000000</v>
      </c>
      <c r="D19" t="n">
        <v>34892000000</v>
      </c>
      <c r="E19" t="n">
        <v>38371000000</v>
      </c>
      <c r="F19" t="n">
        <v>42770000000</v>
      </c>
    </row>
    <row r="20">
      <c r="A20" s="1" t="inlineStr">
        <is>
          <t>Capital Stock</t>
        </is>
      </c>
      <c r="C20" t="n">
        <v>3000000</v>
      </c>
      <c r="D20" t="n">
        <v>3000000</v>
      </c>
      <c r="E20" t="n">
        <v>3000000</v>
      </c>
      <c r="F20" t="n">
        <v>3000000</v>
      </c>
    </row>
    <row r="21">
      <c r="A21" s="1" t="inlineStr">
        <is>
          <t>Common Stock</t>
        </is>
      </c>
      <c r="C21" t="n">
        <v>3000000</v>
      </c>
      <c r="D21" t="n">
        <v>3000000</v>
      </c>
      <c r="E21" t="n">
        <v>3000000</v>
      </c>
      <c r="F21" t="n">
        <v>3000000</v>
      </c>
    </row>
    <row r="22">
      <c r="A22" s="1" t="inlineStr">
        <is>
          <t>Preferred Stock</t>
        </is>
      </c>
      <c r="C22" t="n">
        <v>0</v>
      </c>
      <c r="D22" t="n">
        <v>0</v>
      </c>
      <c r="E22" t="n">
        <v>0</v>
      </c>
      <c r="F22" t="n">
        <v>0</v>
      </c>
    </row>
    <row r="23">
      <c r="A23" s="1" t="inlineStr">
        <is>
          <t>Total Liabilities Net Minority Interest</t>
        </is>
      </c>
      <c r="C23" t="n">
        <v>36440000000</v>
      </c>
      <c r="D23" t="n">
        <v>43009000000</v>
      </c>
      <c r="E23" t="n">
        <v>48390000000</v>
      </c>
      <c r="F23" t="n">
        <v>54941000000</v>
      </c>
    </row>
    <row r="24">
      <c r="A24" s="1" t="inlineStr">
        <is>
          <t>Total Non Current Liabilities Net Minority Interest</t>
        </is>
      </c>
      <c r="C24" t="n">
        <v>9731000000</v>
      </c>
      <c r="D24" t="n">
        <v>14261000000</v>
      </c>
      <c r="E24" t="n">
        <v>19569000000</v>
      </c>
      <c r="F24" t="n">
        <v>23227000000</v>
      </c>
    </row>
    <row r="25">
      <c r="A25" s="1" t="inlineStr">
        <is>
          <t>Other Non Current Liabilities</t>
        </is>
      </c>
      <c r="C25" t="n">
        <v>686000000</v>
      </c>
      <c r="D25" t="n">
        <v>876000000</v>
      </c>
      <c r="E25" t="n">
        <v>1093000000</v>
      </c>
      <c r="F25" t="n">
        <v>1339000000</v>
      </c>
    </row>
    <row r="26">
      <c r="A26" s="1" t="inlineStr">
        <is>
          <t>Preferred Securities Outside Stock Equity</t>
        </is>
      </c>
      <c r="B26" t="n">
        <v>568000000</v>
      </c>
    </row>
    <row r="27">
      <c r="A27" s="1" t="inlineStr">
        <is>
          <t>Non Current Accrued Expenses</t>
        </is>
      </c>
      <c r="B27" t="n">
        <v>1398000000</v>
      </c>
      <c r="C27" t="n">
        <v>2480000000</v>
      </c>
      <c r="D27" t="n">
        <v>3606000000</v>
      </c>
    </row>
    <row r="28">
      <c r="A28" s="1" t="inlineStr">
        <is>
          <t>Non Current Deferred Liabilities</t>
        </is>
      </c>
      <c r="C28" t="n">
        <v>2804000000</v>
      </c>
      <c r="D28" t="n">
        <v>3251000000</v>
      </c>
      <c r="E28" t="n">
        <v>3317000000</v>
      </c>
      <c r="F28" t="n">
        <v>3631000000</v>
      </c>
    </row>
    <row r="29">
      <c r="A29" s="1" t="inlineStr">
        <is>
          <t>Non Current Deferred Revenue</t>
        </is>
      </c>
      <c r="C29" t="n">
        <v>2804000000</v>
      </c>
      <c r="D29" t="n">
        <v>3251000000</v>
      </c>
      <c r="E29" t="n">
        <v>3317000000</v>
      </c>
      <c r="F29" t="n">
        <v>3631000000</v>
      </c>
    </row>
    <row r="30">
      <c r="A30" s="1" t="inlineStr">
        <is>
          <t>Non Current Deferred Taxes Liabilities</t>
        </is>
      </c>
      <c r="B30" t="n">
        <v>24000000</v>
      </c>
      <c r="C30" t="n">
        <v>82000000</v>
      </c>
    </row>
    <row r="31">
      <c r="A31" s="1" t="inlineStr">
        <is>
          <t>Long Term Debt And Capital Lease Obligation</t>
        </is>
      </c>
      <c r="C31" t="n">
        <v>3761000000</v>
      </c>
      <c r="D31" t="n">
        <v>6528000000</v>
      </c>
      <c r="E31" t="n">
        <v>10360000000</v>
      </c>
      <c r="F31" t="n">
        <v>12125000000</v>
      </c>
    </row>
    <row r="32">
      <c r="A32" s="1" t="inlineStr">
        <is>
          <t>Long Term Capital Lease Obligation</t>
        </is>
      </c>
      <c r="C32" t="n">
        <v>2732000000</v>
      </c>
      <c r="D32" t="n">
        <v>3846000000</v>
      </c>
      <c r="E32" t="n">
        <v>4825000000</v>
      </c>
      <c r="F32" t="n">
        <v>5541000000</v>
      </c>
    </row>
    <row r="33">
      <c r="A33" s="1" t="inlineStr">
        <is>
          <t>Long Term Debt</t>
        </is>
      </c>
      <c r="C33" t="n">
        <v>1029000000</v>
      </c>
      <c r="D33" t="n">
        <v>2682000000</v>
      </c>
      <c r="E33" t="n">
        <v>5535000000</v>
      </c>
      <c r="F33" t="n">
        <v>6584000000</v>
      </c>
    </row>
    <row r="34">
      <c r="A34" s="1" t="inlineStr">
        <is>
          <t>Long Term Provisions</t>
        </is>
      </c>
      <c r="C34" t="n">
        <v>2480000000</v>
      </c>
      <c r="D34" t="n">
        <v>3606000000</v>
      </c>
      <c r="E34" t="n">
        <v>4799000000</v>
      </c>
      <c r="F34" t="n">
        <v>6132000000</v>
      </c>
    </row>
    <row r="35">
      <c r="A35" s="1" t="inlineStr">
        <is>
          <t>Current Liabilities</t>
        </is>
      </c>
      <c r="C35" t="n">
        <v>26709000000</v>
      </c>
      <c r="D35" t="n">
        <v>28748000000</v>
      </c>
      <c r="E35" t="n">
        <v>28821000000</v>
      </c>
      <c r="F35" t="n">
        <v>31714000000</v>
      </c>
    </row>
    <row r="36">
      <c r="A36" s="1" t="inlineStr">
        <is>
          <t>Other Current Liabilities</t>
        </is>
      </c>
      <c r="C36" t="n">
        <v>354000000</v>
      </c>
      <c r="D36" t="n">
        <v>517000000</v>
      </c>
      <c r="E36" t="n">
        <v>1549000000</v>
      </c>
      <c r="F36" t="n">
        <v>1932000000</v>
      </c>
    </row>
    <row r="37">
      <c r="A37" s="1" t="inlineStr">
        <is>
          <t>Current Deferred Liabilities</t>
        </is>
      </c>
      <c r="C37" t="n">
        <v>2810000000</v>
      </c>
      <c r="D37" t="n">
        <v>3740000000</v>
      </c>
      <c r="E37" t="n">
        <v>4161000000</v>
      </c>
      <c r="F37" t="n">
        <v>4735000000</v>
      </c>
    </row>
    <row r="38">
      <c r="A38" s="1" t="inlineStr">
        <is>
          <t>Current Deferred Revenue</t>
        </is>
      </c>
      <c r="C38" t="n">
        <v>2810000000</v>
      </c>
      <c r="D38" t="n">
        <v>3740000000</v>
      </c>
      <c r="E38" t="n">
        <v>4161000000</v>
      </c>
      <c r="F38" t="n">
        <v>4735000000</v>
      </c>
    </row>
    <row r="39">
      <c r="A39" s="1" t="inlineStr">
        <is>
          <t>Current Debt And Capital Lease Obligation</t>
        </is>
      </c>
      <c r="C39" t="n">
        <v>1987000000</v>
      </c>
      <c r="D39" t="n">
        <v>3045000000</v>
      </c>
      <c r="E39" t="n">
        <v>3263000000</v>
      </c>
      <c r="F39" t="n">
        <v>2594000000</v>
      </c>
    </row>
    <row r="40">
      <c r="A40" s="1" t="inlineStr">
        <is>
          <t>Current Capital Lease Obligation</t>
        </is>
      </c>
      <c r="C40" t="n">
        <v>971000000</v>
      </c>
      <c r="D40" t="n">
        <v>1070000000</v>
      </c>
      <c r="E40" t="n">
        <v>920000000</v>
      </c>
      <c r="F40" t="n">
        <v>1025000000</v>
      </c>
    </row>
    <row r="41">
      <c r="A41" s="1" t="inlineStr">
        <is>
          <t>Current Debt</t>
        </is>
      </c>
      <c r="C41" t="n">
        <v>1016000000</v>
      </c>
      <c r="D41" t="n">
        <v>1975000000</v>
      </c>
      <c r="E41" t="n">
        <v>2343000000</v>
      </c>
      <c r="F41" t="n">
        <v>1569000000</v>
      </c>
    </row>
    <row r="42">
      <c r="A42" s="1" t="inlineStr">
        <is>
          <t>Other Current Borrowings</t>
        </is>
      </c>
      <c r="C42" t="n">
        <v>1016000000</v>
      </c>
      <c r="D42" t="n">
        <v>1975000000</v>
      </c>
      <c r="E42" t="n">
        <v>2343000000</v>
      </c>
      <c r="F42" t="n">
        <v>1569000000</v>
      </c>
    </row>
    <row r="43">
      <c r="A43" s="1" t="inlineStr">
        <is>
          <t>Line Of Credit</t>
        </is>
      </c>
      <c r="C43" t="n">
        <v>0</v>
      </c>
      <c r="D43" t="n">
        <v>0</v>
      </c>
      <c r="E43" t="n">
        <v>0</v>
      </c>
      <c r="F43" t="n">
        <v>0</v>
      </c>
    </row>
    <row r="44">
      <c r="A44" s="1" t="inlineStr">
        <is>
          <t>Current Provisions</t>
        </is>
      </c>
      <c r="C44" t="n">
        <v>1295000000</v>
      </c>
      <c r="D44" t="n">
        <v>1765000000</v>
      </c>
      <c r="E44" t="n">
        <v>2222000000</v>
      </c>
      <c r="F44" t="n">
        <v>3004000000</v>
      </c>
    </row>
    <row r="45">
      <c r="A45" s="1" t="inlineStr">
        <is>
          <t>Payables And Accrued Expenses</t>
        </is>
      </c>
      <c r="C45" t="n">
        <v>20263000000</v>
      </c>
      <c r="D45" t="n">
        <v>19681000000</v>
      </c>
      <c r="E45" t="n">
        <v>17626000000</v>
      </c>
      <c r="F45" t="n">
        <v>19449000000</v>
      </c>
    </row>
    <row r="46">
      <c r="A46" s="1" t="inlineStr">
        <is>
          <t>Current Accrued Expenses</t>
        </is>
      </c>
      <c r="C46" t="n">
        <v>3773000000</v>
      </c>
      <c r="D46" t="n">
        <v>4046000000</v>
      </c>
      <c r="E46" t="n">
        <v>3785000000</v>
      </c>
      <c r="F46" t="n">
        <v>4484000000</v>
      </c>
    </row>
    <row r="47">
      <c r="A47" s="1" t="inlineStr">
        <is>
          <t>Interest Payable</t>
        </is>
      </c>
      <c r="B47" t="n">
        <v>16000000</v>
      </c>
    </row>
    <row r="48">
      <c r="A48" s="1" t="inlineStr">
        <is>
          <t>Payables</t>
        </is>
      </c>
      <c r="C48" t="n">
        <v>16490000000</v>
      </c>
      <c r="D48" t="n">
        <v>15635000000</v>
      </c>
      <c r="E48" t="n">
        <v>13841000000</v>
      </c>
      <c r="F48" t="n">
        <v>14965000000</v>
      </c>
    </row>
    <row r="49">
      <c r="A49" s="1" t="inlineStr">
        <is>
          <t>Total Tax Payable</t>
        </is>
      </c>
      <c r="C49" t="n">
        <v>1235000000</v>
      </c>
      <c r="D49" t="n">
        <v>1204000000</v>
      </c>
      <c r="E49" t="n">
        <v>1367000000</v>
      </c>
      <c r="F49" t="n">
        <v>1594000000</v>
      </c>
    </row>
    <row r="50">
      <c r="A50" s="1" t="inlineStr">
        <is>
          <t>Accounts Payable</t>
        </is>
      </c>
      <c r="C50" t="n">
        <v>15255000000</v>
      </c>
      <c r="D50" t="n">
        <v>14431000000</v>
      </c>
      <c r="E50" t="n">
        <v>12474000000</v>
      </c>
      <c r="F50" t="n">
        <v>13371000000</v>
      </c>
    </row>
    <row r="51">
      <c r="A51" s="1" t="inlineStr">
        <is>
          <t>Total Assets</t>
        </is>
      </c>
      <c r="C51" t="n">
        <v>82338000000</v>
      </c>
      <c r="D51" t="n">
        <v>106618000000</v>
      </c>
      <c r="E51" t="n">
        <v>122070000000</v>
      </c>
      <c r="F51" t="n">
        <v>137806000000</v>
      </c>
    </row>
    <row r="52">
      <c r="A52" s="1" t="inlineStr">
        <is>
          <t>Total Non Current Assets</t>
        </is>
      </c>
      <c r="C52" t="n">
        <v>41421000000</v>
      </c>
      <c r="D52" t="n">
        <v>57003000000</v>
      </c>
      <c r="E52" t="n">
        <v>63715000000</v>
      </c>
      <c r="F52" t="n">
        <v>69158000000</v>
      </c>
    </row>
    <row r="53">
      <c r="A53" s="1" t="inlineStr">
        <is>
          <t>Other Non Current Assets</t>
        </is>
      </c>
      <c r="C53" t="n">
        <v>3865000000</v>
      </c>
      <c r="D53" t="n">
        <v>4531000000</v>
      </c>
      <c r="E53" t="n">
        <v>4215000000</v>
      </c>
      <c r="F53" t="n">
        <v>4664000000</v>
      </c>
    </row>
    <row r="54">
      <c r="A54" s="1" t="inlineStr">
        <is>
          <t>Non Current Deferred Assets</t>
        </is>
      </c>
      <c r="C54" t="n">
        <v>328000000</v>
      </c>
      <c r="D54" t="n">
        <v>6733000000</v>
      </c>
      <c r="E54" t="n">
        <v>6524000000</v>
      </c>
      <c r="F54" t="n">
        <v>6925000000</v>
      </c>
    </row>
    <row r="55">
      <c r="A55" s="1" t="inlineStr">
        <is>
          <t>Non Current Deferred Taxes Assets</t>
        </is>
      </c>
      <c r="C55" t="n">
        <v>328000000</v>
      </c>
      <c r="D55" t="n">
        <v>6733000000</v>
      </c>
      <c r="E55" t="n">
        <v>6524000000</v>
      </c>
      <c r="F55" t="n">
        <v>6925000000</v>
      </c>
    </row>
    <row r="56">
      <c r="A56" s="1" t="inlineStr">
        <is>
          <t>Goodwill And Other Intangible Assets</t>
        </is>
      </c>
      <c r="C56" t="n">
        <v>593000000</v>
      </c>
      <c r="D56" t="n">
        <v>615000000</v>
      </c>
      <c r="E56" t="n">
        <v>1470000000</v>
      </c>
      <c r="F56" t="n">
        <v>1389000000</v>
      </c>
    </row>
    <row r="57">
      <c r="A57" s="1" t="inlineStr">
        <is>
          <t>Other Intangible Assets</t>
        </is>
      </c>
      <c r="C57" t="n">
        <v>399000000</v>
      </c>
      <c r="D57" t="n">
        <v>362000000</v>
      </c>
      <c r="E57" t="n">
        <v>1226000000</v>
      </c>
      <c r="F57" t="n">
        <v>1132000000</v>
      </c>
    </row>
    <row r="58">
      <c r="A58" s="1" t="inlineStr">
        <is>
          <t>Goodwill</t>
        </is>
      </c>
      <c r="C58" t="n">
        <v>194000000</v>
      </c>
      <c r="D58" t="n">
        <v>253000000</v>
      </c>
      <c r="E58" t="n">
        <v>244000000</v>
      </c>
      <c r="F58" t="n">
        <v>257000000</v>
      </c>
    </row>
    <row r="59">
      <c r="A59" s="1" t="inlineStr">
        <is>
          <t>Net PPE</t>
        </is>
      </c>
      <c r="C59" t="n">
        <v>36635000000</v>
      </c>
      <c r="D59" t="n">
        <v>45124000000</v>
      </c>
      <c r="E59" t="n">
        <v>51506000000</v>
      </c>
      <c r="F59" t="n">
        <v>56180000000</v>
      </c>
    </row>
    <row r="60">
      <c r="A60" s="1" t="inlineStr">
        <is>
          <t>Accumulated Depreciation</t>
        </is>
      </c>
      <c r="C60" t="n">
        <v>-11499000000</v>
      </c>
      <c r="D60" t="n">
        <v>-15077000000</v>
      </c>
      <c r="E60" t="n">
        <v>-18898000000</v>
      </c>
      <c r="F60" t="n">
        <v>-23443000000</v>
      </c>
    </row>
    <row r="61">
      <c r="A61" s="1" t="inlineStr">
        <is>
          <t>Gross PPE</t>
        </is>
      </c>
      <c r="C61" t="n">
        <v>48134000000</v>
      </c>
      <c r="D61" t="n">
        <v>60201000000</v>
      </c>
      <c r="E61" t="n">
        <v>70404000000</v>
      </c>
      <c r="F61" t="n">
        <v>79623000000</v>
      </c>
    </row>
    <row r="62">
      <c r="A62" s="1" t="inlineStr">
        <is>
          <t>Leases</t>
        </is>
      </c>
      <c r="C62" t="n">
        <v>2366000000</v>
      </c>
      <c r="D62" t="n">
        <v>3136000000</v>
      </c>
      <c r="E62" t="n">
        <v>3688000000</v>
      </c>
      <c r="F62" t="n">
        <v>4439000000</v>
      </c>
    </row>
    <row r="63">
      <c r="A63" s="1" t="inlineStr">
        <is>
          <t>Construction In Progress</t>
        </is>
      </c>
      <c r="C63" t="n">
        <v>4281000000</v>
      </c>
      <c r="D63" t="n">
        <v>5791000000</v>
      </c>
      <c r="E63" t="n">
        <v>6783000000</v>
      </c>
      <c r="F63" t="n">
        <v>8786000000</v>
      </c>
    </row>
    <row r="64">
      <c r="A64" s="1" t="inlineStr">
        <is>
          <t>Other Properties</t>
        </is>
      </c>
      <c r="C64" t="n">
        <v>5142000000</v>
      </c>
      <c r="D64" t="n">
        <v>8819000000</v>
      </c>
      <c r="E64" t="n">
        <v>14195000000</v>
      </c>
      <c r="F64" t="n">
        <v>17711000000</v>
      </c>
    </row>
    <row r="65">
      <c r="A65" s="1" t="inlineStr">
        <is>
          <t>Machinery Furniture Equipment</t>
        </is>
      </c>
      <c r="C65" t="n">
        <v>21705000000</v>
      </c>
      <c r="D65" t="n">
        <v>26087000000</v>
      </c>
      <c r="E65" t="n">
        <v>28271000000</v>
      </c>
      <c r="F65" t="n">
        <v>30190000000</v>
      </c>
    </row>
    <row r="66">
      <c r="A66" s="1" t="inlineStr">
        <is>
          <t>Land And Improvements</t>
        </is>
      </c>
      <c r="C66" t="n">
        <v>7751000000</v>
      </c>
      <c r="D66" t="n">
        <v>9498000000</v>
      </c>
      <c r="E66" t="n">
        <v>10677000000</v>
      </c>
      <c r="F66" t="n">
        <v>11837000000</v>
      </c>
    </row>
    <row r="67">
      <c r="A67" s="1" t="inlineStr">
        <is>
          <t>Properties</t>
        </is>
      </c>
      <c r="C67" t="n">
        <v>6889000000</v>
      </c>
      <c r="D67" t="n">
        <v>6870000000</v>
      </c>
      <c r="E67" t="n">
        <v>6790000000</v>
      </c>
      <c r="F67" t="n">
        <v>6660000000</v>
      </c>
    </row>
    <row r="68">
      <c r="A68" s="1" t="inlineStr">
        <is>
          <t>Current Assets</t>
        </is>
      </c>
      <c r="C68" t="n">
        <v>40917000000</v>
      </c>
      <c r="D68" t="n">
        <v>49616000000</v>
      </c>
      <c r="E68" t="n">
        <v>58360000000</v>
      </c>
      <c r="F68" t="n">
        <v>68642000000</v>
      </c>
    </row>
    <row r="69">
      <c r="A69" s="1" t="inlineStr">
        <is>
          <t>Other Current Assets</t>
        </is>
      </c>
      <c r="C69" t="n">
        <v>2941000000</v>
      </c>
      <c r="D69" t="n">
        <v>3388000000</v>
      </c>
      <c r="E69" t="n">
        <v>5362000000</v>
      </c>
      <c r="F69" t="n">
        <v>7615000000</v>
      </c>
    </row>
    <row r="70">
      <c r="A70" s="1" t="inlineStr">
        <is>
          <t>Prepaid Assets</t>
        </is>
      </c>
      <c r="B70" t="n">
        <v>1723000000</v>
      </c>
    </row>
    <row r="71">
      <c r="A71" s="1" t="inlineStr">
        <is>
          <t>Inventory</t>
        </is>
      </c>
      <c r="C71" t="n">
        <v>12839000000</v>
      </c>
      <c r="D71" t="n">
        <v>13626000000</v>
      </c>
      <c r="E71" t="n">
        <v>12017000000</v>
      </c>
      <c r="F71" t="n">
        <v>12392000000</v>
      </c>
    </row>
    <row r="72">
      <c r="A72" s="1" t="inlineStr">
        <is>
          <t>Other Inventories</t>
        </is>
      </c>
      <c r="C72" t="n">
        <v>842000000</v>
      </c>
      <c r="D72" t="n">
        <v>1171000000</v>
      </c>
      <c r="E72" t="n">
        <v>1303000000</v>
      </c>
      <c r="F72" t="n">
        <v>1296000000</v>
      </c>
    </row>
    <row r="73">
      <c r="A73" s="1" t="inlineStr">
        <is>
          <t>Finished Goods</t>
        </is>
      </c>
      <c r="C73" t="n">
        <v>3475000000</v>
      </c>
      <c r="D73" t="n">
        <v>5049000000</v>
      </c>
      <c r="E73" t="n">
        <v>3940000000</v>
      </c>
      <c r="F73" t="n">
        <v>4849000000</v>
      </c>
    </row>
    <row r="74">
      <c r="A74" s="1" t="inlineStr">
        <is>
          <t>Work In Process</t>
        </is>
      </c>
      <c r="C74" t="n">
        <v>2385000000</v>
      </c>
      <c r="D74" t="n">
        <v>2016000000</v>
      </c>
      <c r="E74" t="n">
        <v>1532000000</v>
      </c>
      <c r="F74" t="n">
        <v>1725000000</v>
      </c>
    </row>
    <row r="75">
      <c r="A75" s="1" t="inlineStr">
        <is>
          <t>Raw Materials</t>
        </is>
      </c>
      <c r="C75" t="n">
        <v>6137000000</v>
      </c>
      <c r="D75" t="n">
        <v>5390000000</v>
      </c>
      <c r="E75" t="n">
        <v>5242000000</v>
      </c>
      <c r="F75" t="n">
        <v>4522000000</v>
      </c>
    </row>
    <row r="76">
      <c r="A76" s="1" t="inlineStr">
        <is>
          <t>Receivables</t>
        </is>
      </c>
      <c r="C76" t="n">
        <v>2952000000</v>
      </c>
      <c r="D76" t="n">
        <v>3508000000</v>
      </c>
      <c r="E76" t="n">
        <v>4418000000</v>
      </c>
      <c r="F76" t="n">
        <v>4576000000</v>
      </c>
    </row>
    <row r="77">
      <c r="A77" s="1" t="inlineStr">
        <is>
          <t>Accounts Receivable</t>
        </is>
      </c>
      <c r="C77" t="n">
        <v>2952000000</v>
      </c>
      <c r="D77" t="n">
        <v>3508000000</v>
      </c>
      <c r="E77" t="n">
        <v>4418000000</v>
      </c>
      <c r="F77" t="n">
        <v>4576000000</v>
      </c>
    </row>
    <row r="78">
      <c r="A78" s="1" t="inlineStr">
        <is>
          <t>Cash Cash Equivalents And Short Term Investments</t>
        </is>
      </c>
      <c r="C78" t="n">
        <v>22185000000</v>
      </c>
      <c r="D78" t="n">
        <v>29094000000</v>
      </c>
      <c r="E78" t="n">
        <v>36563000000</v>
      </c>
      <c r="F78" t="n">
        <v>44059000000</v>
      </c>
    </row>
    <row r="79">
      <c r="A79" s="1" t="inlineStr">
        <is>
          <t>Other Short Term Investments</t>
        </is>
      </c>
      <c r="C79" t="n">
        <v>5932000000</v>
      </c>
      <c r="D79" t="n">
        <v>12696000000</v>
      </c>
      <c r="E79" t="n">
        <v>20424000000</v>
      </c>
      <c r="F79" t="n">
        <v>27546000000</v>
      </c>
    </row>
    <row r="80">
      <c r="A80" s="1" t="inlineStr">
        <is>
          <t>Cash And Cash Equivalents</t>
        </is>
      </c>
      <c r="C80" t="n">
        <v>16253000000</v>
      </c>
      <c r="D80" t="n">
        <v>16398000000</v>
      </c>
      <c r="E80" t="n">
        <v>16139000000</v>
      </c>
      <c r="F80" t="n">
        <v>16513000000</v>
      </c>
    </row>
    <row r="81">
      <c r="A81" s="1" t="inlineStr">
        <is>
          <t>Cash Equivalents</t>
        </is>
      </c>
      <c r="C81" t="n">
        <v>2288000000</v>
      </c>
      <c r="D81" t="n">
        <v>495000000</v>
      </c>
      <c r="E81" t="n">
        <v>1753000000</v>
      </c>
      <c r="F81" t="n">
        <v>1890000000</v>
      </c>
    </row>
    <row r="82">
      <c r="A82" s="1" t="inlineStr">
        <is>
          <t>Cash Financial</t>
        </is>
      </c>
      <c r="C82" t="n">
        <v>13965000000</v>
      </c>
      <c r="D82" t="n">
        <v>15903000000</v>
      </c>
      <c r="E82" t="n">
        <v>14386000000</v>
      </c>
      <c r="F82" t="n">
        <v>14623000000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n">
        <v>2021</v>
      </c>
      <c r="C1" s="1" t="n">
        <v>2022</v>
      </c>
      <c r="D1" s="1" t="n">
        <v>2023</v>
      </c>
      <c r="E1" s="1" t="n">
        <v>2024</v>
      </c>
      <c r="F1" s="1" t="n">
        <v>2025</v>
      </c>
    </row>
    <row r="2">
      <c r="A2" s="1" t="inlineStr">
        <is>
          <t>Free Cash Flow</t>
        </is>
      </c>
      <c r="C2" t="n">
        <v>7552000000</v>
      </c>
      <c r="D2" t="n">
        <v>4357000000</v>
      </c>
      <c r="E2" t="n">
        <v>3581000000</v>
      </c>
      <c r="F2" t="n">
        <v>6220000000</v>
      </c>
    </row>
    <row r="3">
      <c r="A3" s="1" t="inlineStr">
        <is>
          <t>Repayment Of Debt</t>
        </is>
      </c>
      <c r="C3" t="n">
        <v>-3866000000</v>
      </c>
      <c r="D3" t="n">
        <v>-1815000000</v>
      </c>
      <c r="E3" t="n">
        <v>-2881000000</v>
      </c>
      <c r="F3" t="n">
        <v>-5650000000</v>
      </c>
    </row>
    <row r="4">
      <c r="A4" s="1" t="inlineStr">
        <is>
          <t>Issuance Of Debt</t>
        </is>
      </c>
      <c r="C4" t="n">
        <v>0</v>
      </c>
      <c r="D4" t="n">
        <v>3931000000</v>
      </c>
      <c r="E4" t="n">
        <v>5744000000</v>
      </c>
      <c r="F4" t="n">
        <v>5586000000</v>
      </c>
    </row>
    <row r="5">
      <c r="A5" s="1" t="inlineStr">
        <is>
          <t>Issuance Of Capital Stock</t>
        </is>
      </c>
      <c r="B5" t="n">
        <v>0</v>
      </c>
      <c r="C5" t="n">
        <v>0</v>
      </c>
    </row>
    <row r="6">
      <c r="A6" s="1" t="inlineStr">
        <is>
          <t>Capital Expenditure</t>
        </is>
      </c>
      <c r="C6" t="n">
        <v>-7172000000</v>
      </c>
      <c r="D6" t="n">
        <v>-8899000000</v>
      </c>
      <c r="E6" t="n">
        <v>-11342000000</v>
      </c>
      <c r="F6" t="n">
        <v>-8527000000</v>
      </c>
    </row>
    <row r="7">
      <c r="A7" s="1" t="inlineStr">
        <is>
          <t>Interest Paid Supplemental Data</t>
        </is>
      </c>
      <c r="C7" t="n">
        <v>152000000</v>
      </c>
      <c r="D7" t="n">
        <v>126000000</v>
      </c>
      <c r="E7" t="n">
        <v>277000000</v>
      </c>
      <c r="F7" t="n">
        <v>292000000</v>
      </c>
    </row>
    <row r="8">
      <c r="A8" s="1" t="inlineStr">
        <is>
          <t>Income Tax Paid Supplemental Data</t>
        </is>
      </c>
      <c r="B8" t="n">
        <v>561000000</v>
      </c>
      <c r="C8" t="n">
        <v>1203000000</v>
      </c>
      <c r="D8" t="n">
        <v>1119000000</v>
      </c>
      <c r="E8" t="n">
        <v>1331000000</v>
      </c>
    </row>
    <row r="9">
      <c r="A9" s="1" t="inlineStr">
        <is>
          <t>End Cash Position</t>
        </is>
      </c>
      <c r="C9" t="n">
        <v>16924000000</v>
      </c>
      <c r="D9" t="n">
        <v>17189000000</v>
      </c>
      <c r="E9" t="n">
        <v>17037000000</v>
      </c>
      <c r="F9" t="n">
        <v>17616000000</v>
      </c>
    </row>
    <row r="10">
      <c r="A10" s="1" t="inlineStr">
        <is>
          <t>Beginning Cash Position</t>
        </is>
      </c>
      <c r="C10" t="n">
        <v>18144000000</v>
      </c>
      <c r="D10" t="n">
        <v>16924000000</v>
      </c>
      <c r="E10" t="n">
        <v>17189000000</v>
      </c>
      <c r="F10" t="n">
        <v>17037000000</v>
      </c>
    </row>
    <row r="11">
      <c r="A11" s="1" t="inlineStr">
        <is>
          <t>Effect Of Exchange Rate Changes</t>
        </is>
      </c>
      <c r="C11" t="n">
        <v>-444000000</v>
      </c>
      <c r="D11" t="n">
        <v>4000000</v>
      </c>
      <c r="E11" t="n">
        <v>-141000000</v>
      </c>
      <c r="F11" t="n">
        <v>171000000</v>
      </c>
    </row>
    <row r="12">
      <c r="A12" s="1" t="inlineStr">
        <is>
          <t>Changes In Cash</t>
        </is>
      </c>
      <c r="C12" t="n">
        <v>-776000000</v>
      </c>
      <c r="D12" t="n">
        <v>261000000</v>
      </c>
      <c r="E12" t="n">
        <v>-11000000</v>
      </c>
      <c r="F12" t="n">
        <v>408000000</v>
      </c>
    </row>
    <row r="13">
      <c r="A13" s="1" t="inlineStr">
        <is>
          <t>Financing Cash Flow</t>
        </is>
      </c>
      <c r="C13" t="n">
        <v>-3527000000</v>
      </c>
      <c r="D13" t="n">
        <v>2589000000</v>
      </c>
      <c r="E13" t="n">
        <v>3853000000</v>
      </c>
      <c r="F13" t="n">
        <v>1139000000</v>
      </c>
    </row>
    <row r="14">
      <c r="A14" s="1" t="inlineStr">
        <is>
          <t>Cash Flow From Continuing Financing Activities</t>
        </is>
      </c>
      <c r="C14" t="n">
        <v>-3527000000</v>
      </c>
      <c r="D14" t="n">
        <v>2589000000</v>
      </c>
      <c r="E14" t="n">
        <v>3853000000</v>
      </c>
      <c r="F14" t="n">
        <v>1139000000</v>
      </c>
    </row>
    <row r="15">
      <c r="A15" s="1" t="inlineStr">
        <is>
          <t>Net Other Financing Charges</t>
        </is>
      </c>
      <c r="C15" t="n">
        <v>-202000000</v>
      </c>
      <c r="D15" t="n">
        <v>-227000000</v>
      </c>
      <c r="E15" t="n">
        <v>-251000000</v>
      </c>
      <c r="F15" t="n">
        <v>17000000</v>
      </c>
    </row>
    <row r="16">
      <c r="A16" s="1" t="inlineStr">
        <is>
          <t>Proceeds From Stock Option Exercised</t>
        </is>
      </c>
      <c r="C16" t="n">
        <v>541000000</v>
      </c>
      <c r="D16" t="n">
        <v>700000000</v>
      </c>
      <c r="E16" t="n">
        <v>1241000000</v>
      </c>
      <c r="F16" t="n">
        <v>1186000000</v>
      </c>
    </row>
    <row r="17">
      <c r="A17" s="1" t="inlineStr">
        <is>
          <t>Net Common Stock Issuance</t>
        </is>
      </c>
      <c r="B17" t="n">
        <v>0</v>
      </c>
      <c r="C17" t="n">
        <v>0</v>
      </c>
    </row>
    <row r="18">
      <c r="A18" s="1" t="inlineStr">
        <is>
          <t>Common Stock Issuance</t>
        </is>
      </c>
      <c r="B18" t="n">
        <v>0</v>
      </c>
      <c r="C18" t="n">
        <v>0</v>
      </c>
    </row>
    <row r="19">
      <c r="A19" s="1" t="inlineStr">
        <is>
          <t>Net Issuance Payments Of Debt</t>
        </is>
      </c>
      <c r="C19" t="n">
        <v>-3866000000</v>
      </c>
      <c r="D19" t="n">
        <v>2116000000</v>
      </c>
      <c r="E19" t="n">
        <v>2863000000</v>
      </c>
      <c r="F19" t="n">
        <v>-64000000</v>
      </c>
    </row>
    <row r="20">
      <c r="A20" s="1" t="inlineStr">
        <is>
          <t>Net Long Term Debt Issuance</t>
        </is>
      </c>
      <c r="C20" t="n">
        <v>-3866000000</v>
      </c>
      <c r="D20" t="n">
        <v>2116000000</v>
      </c>
      <c r="E20" t="n">
        <v>2863000000</v>
      </c>
      <c r="F20" t="n">
        <v>-64000000</v>
      </c>
    </row>
    <row r="21">
      <c r="A21" s="1" t="inlineStr">
        <is>
          <t>Long Term Debt Payments</t>
        </is>
      </c>
      <c r="C21" t="n">
        <v>-3866000000</v>
      </c>
      <c r="D21" t="n">
        <v>-1815000000</v>
      </c>
      <c r="E21" t="n">
        <v>-2881000000</v>
      </c>
      <c r="F21" t="n">
        <v>-5650000000</v>
      </c>
    </row>
    <row r="22">
      <c r="A22" s="1" t="inlineStr">
        <is>
          <t>Long Term Debt Issuance</t>
        </is>
      </c>
      <c r="C22" t="n">
        <v>0</v>
      </c>
      <c r="D22" t="n">
        <v>3931000000</v>
      </c>
      <c r="E22" t="n">
        <v>5744000000</v>
      </c>
      <c r="F22" t="n">
        <v>5586000000</v>
      </c>
    </row>
    <row r="23">
      <c r="A23" s="1" t="inlineStr">
        <is>
          <t>Investing Cash Flow</t>
        </is>
      </c>
      <c r="C23" t="n">
        <v>-11973000000</v>
      </c>
      <c r="D23" t="n">
        <v>-15584000000</v>
      </c>
      <c r="E23" t="n">
        <v>-18787000000</v>
      </c>
      <c r="F23" t="n">
        <v>-15478000000</v>
      </c>
    </row>
    <row r="24">
      <c r="A24" s="1" t="inlineStr">
        <is>
          <t>Cash Flow From Continuing Investing Activities</t>
        </is>
      </c>
      <c r="C24" t="n">
        <v>-11973000000</v>
      </c>
      <c r="D24" t="n">
        <v>-15584000000</v>
      </c>
      <c r="E24" t="n">
        <v>-18787000000</v>
      </c>
      <c r="F24" t="n">
        <v>-15478000000</v>
      </c>
    </row>
    <row r="25">
      <c r="A25" s="1" t="inlineStr">
        <is>
          <t>Net Other Investing Changes</t>
        </is>
      </c>
      <c r="B25" t="n">
        <v>6000000</v>
      </c>
      <c r="C25" t="n">
        <v>76000000</v>
      </c>
    </row>
    <row r="26">
      <c r="A26" s="1" t="inlineStr">
        <is>
          <t>Net Investment Purchase And Sale</t>
        </is>
      </c>
      <c r="C26" t="n">
        <v>-5813000000</v>
      </c>
      <c r="D26" t="n">
        <v>-6621000000</v>
      </c>
      <c r="E26" t="n">
        <v>-7445000000</v>
      </c>
      <c r="F26" t="n">
        <v>-6951000000</v>
      </c>
    </row>
    <row r="27">
      <c r="A27" s="1" t="inlineStr">
        <is>
          <t>Sale Of Investment</t>
        </is>
      </c>
      <c r="C27" t="n">
        <v>22000000</v>
      </c>
      <c r="D27" t="n">
        <v>12491000000</v>
      </c>
      <c r="E27" t="n">
        <v>28510000000</v>
      </c>
      <c r="F27" t="n">
        <v>30158000000</v>
      </c>
    </row>
    <row r="28">
      <c r="A28" s="1" t="inlineStr">
        <is>
          <t>Purchase Of Investment</t>
        </is>
      </c>
      <c r="C28" t="n">
        <v>-5835000000</v>
      </c>
      <c r="D28" t="n">
        <v>-19112000000</v>
      </c>
      <c r="E28" t="n">
        <v>-35955000000</v>
      </c>
      <c r="F28" t="n">
        <v>-37109000000</v>
      </c>
    </row>
    <row r="29">
      <c r="A29" s="1" t="inlineStr">
        <is>
          <t>Net Business Purchase And Sale</t>
        </is>
      </c>
      <c r="C29" t="n">
        <v>0</v>
      </c>
      <c r="D29" t="n">
        <v>-64000000</v>
      </c>
      <c r="E29" t="n">
        <v>0</v>
      </c>
      <c r="F29" t="n">
        <v>0</v>
      </c>
    </row>
    <row r="30">
      <c r="A30" s="1" t="inlineStr">
        <is>
          <t>Sale Of Business</t>
        </is>
      </c>
      <c r="B30" t="n">
        <v>0</v>
      </c>
      <c r="C30" t="n">
        <v>0</v>
      </c>
    </row>
    <row r="31">
      <c r="A31" s="1" t="inlineStr">
        <is>
          <t>Purchase Of Business</t>
        </is>
      </c>
      <c r="C31" t="n">
        <v>0</v>
      </c>
      <c r="D31" t="n">
        <v>-64000000</v>
      </c>
      <c r="E31" t="n">
        <v>0</v>
      </c>
      <c r="F31" t="n">
        <v>0</v>
      </c>
    </row>
    <row r="32">
      <c r="A32" s="1" t="inlineStr">
        <is>
          <t>Net Intangibles Purchase And Sale</t>
        </is>
      </c>
      <c r="B32" t="n">
        <v>-1228000000</v>
      </c>
      <c r="C32" t="n">
        <v>927000000</v>
      </c>
      <c r="D32" t="n">
        <v>0</v>
      </c>
      <c r="E32" t="n">
        <v>0</v>
      </c>
    </row>
    <row r="33">
      <c r="A33" s="1" t="inlineStr">
        <is>
          <t>Sale Of Intangibles</t>
        </is>
      </c>
      <c r="B33" t="n">
        <v>272000000</v>
      </c>
      <c r="C33" t="n">
        <v>936000000</v>
      </c>
      <c r="D33" t="n">
        <v>0</v>
      </c>
      <c r="E33" t="n">
        <v>0</v>
      </c>
    </row>
    <row r="34">
      <c r="A34" s="1" t="inlineStr">
        <is>
          <t>Purchase Of Intangibles</t>
        </is>
      </c>
      <c r="B34" t="n">
        <v>-1500000000</v>
      </c>
      <c r="C34" t="n">
        <v>-9000000</v>
      </c>
      <c r="D34" t="n">
        <v>0</v>
      </c>
      <c r="E34" t="n">
        <v>0</v>
      </c>
    </row>
    <row r="35">
      <c r="A35" s="1" t="inlineStr">
        <is>
          <t>Net PPE Purchase And Sale</t>
        </is>
      </c>
      <c r="C35" t="n">
        <v>-7163000000</v>
      </c>
      <c r="D35" t="n">
        <v>-8899000000</v>
      </c>
      <c r="E35" t="n">
        <v>-11342000000</v>
      </c>
      <c r="F35" t="n">
        <v>-8527000000</v>
      </c>
    </row>
    <row r="36">
      <c r="A36" s="1" t="inlineStr">
        <is>
          <t>Purchase Of PPE</t>
        </is>
      </c>
      <c r="C36" t="n">
        <v>-7163000000</v>
      </c>
      <c r="D36" t="n">
        <v>-8899000000</v>
      </c>
      <c r="E36" t="n">
        <v>-11342000000</v>
      </c>
      <c r="F36" t="n">
        <v>-8527000000</v>
      </c>
    </row>
    <row r="37">
      <c r="A37" s="1" t="inlineStr">
        <is>
          <t>Operating Cash Flow</t>
        </is>
      </c>
      <c r="C37" t="n">
        <v>14724000000</v>
      </c>
      <c r="D37" t="n">
        <v>13256000000</v>
      </c>
      <c r="E37" t="n">
        <v>14923000000</v>
      </c>
      <c r="F37" t="n">
        <v>14747000000</v>
      </c>
    </row>
    <row r="38">
      <c r="A38" s="1" t="inlineStr">
        <is>
          <t>Cash Flow From Continuing Operating Activities</t>
        </is>
      </c>
      <c r="C38" t="n">
        <v>14724000000</v>
      </c>
      <c r="D38" t="n">
        <v>13256000000</v>
      </c>
      <c r="E38" t="n">
        <v>14923000000</v>
      </c>
      <c r="F38" t="n">
        <v>14747000000</v>
      </c>
    </row>
    <row r="39">
      <c r="A39" s="1" t="inlineStr">
        <is>
          <t>Change In Working Capital</t>
        </is>
      </c>
      <c r="C39" t="n">
        <v>-3712000000</v>
      </c>
      <c r="D39" t="n">
        <v>-2248000000</v>
      </c>
      <c r="E39" t="n">
        <v>81000000</v>
      </c>
      <c r="F39" t="n">
        <v>642000000</v>
      </c>
    </row>
    <row r="40">
      <c r="A40" s="1" t="inlineStr">
        <is>
          <t>Change In Other Working Capital</t>
        </is>
      </c>
      <c r="C40" t="n">
        <v>1131000000</v>
      </c>
      <c r="D40" t="n">
        <v>1532000000</v>
      </c>
      <c r="E40" t="n">
        <v>502000000</v>
      </c>
      <c r="F40" t="n">
        <v>363000000</v>
      </c>
    </row>
    <row r="41">
      <c r="A41" s="1" t="inlineStr">
        <is>
          <t>Change In Other Current Liabilities</t>
        </is>
      </c>
      <c r="B41" t="n">
        <v>476000000</v>
      </c>
      <c r="C41" t="n">
        <v>1904000000</v>
      </c>
    </row>
    <row r="42">
      <c r="A42" s="1" t="inlineStr">
        <is>
          <t>Change In Other Current Assets</t>
        </is>
      </c>
      <c r="C42" t="n">
        <v>-1570000000</v>
      </c>
      <c r="D42" t="n">
        <v>-1952000000</v>
      </c>
      <c r="E42" t="n">
        <v>-590000000</v>
      </c>
      <c r="F42" t="n">
        <v>-25000000</v>
      </c>
    </row>
    <row r="43">
      <c r="A43" s="1" t="inlineStr">
        <is>
          <t>Change In Payables And Accrued Expense</t>
        </is>
      </c>
      <c r="C43" t="n">
        <v>8029000000</v>
      </c>
      <c r="D43" t="n">
        <v>2605000000</v>
      </c>
      <c r="E43" t="n">
        <v>3588000000</v>
      </c>
      <c r="F43" t="n">
        <v>4376000000</v>
      </c>
    </row>
    <row r="44">
      <c r="A44" s="1" t="inlineStr">
        <is>
          <t>Change In Payable</t>
        </is>
      </c>
      <c r="C44" t="n">
        <v>8029000000</v>
      </c>
      <c r="D44" t="n">
        <v>2605000000</v>
      </c>
      <c r="E44" t="n">
        <v>3588000000</v>
      </c>
      <c r="F44" t="n">
        <v>4376000000</v>
      </c>
    </row>
    <row r="45">
      <c r="A45" s="1" t="inlineStr">
        <is>
          <t>Change In Account Payable</t>
        </is>
      </c>
      <c r="C45" t="n">
        <v>8029000000</v>
      </c>
      <c r="D45" t="n">
        <v>2605000000</v>
      </c>
      <c r="E45" t="n">
        <v>3588000000</v>
      </c>
      <c r="F45" t="n">
        <v>4376000000</v>
      </c>
    </row>
    <row r="46">
      <c r="A46" s="1" t="inlineStr">
        <is>
          <t>Change In Prepaid Assets</t>
        </is>
      </c>
      <c r="C46" t="n">
        <v>-3713000000</v>
      </c>
      <c r="D46" t="n">
        <v>-2652000000</v>
      </c>
      <c r="E46" t="n">
        <v>-3273000000</v>
      </c>
      <c r="F46" t="n">
        <v>-3181000000</v>
      </c>
    </row>
    <row r="47">
      <c r="A47" s="1" t="inlineStr">
        <is>
          <t>Change In Inventory</t>
        </is>
      </c>
      <c r="C47" t="n">
        <v>-6465000000</v>
      </c>
      <c r="D47" t="n">
        <v>-1195000000</v>
      </c>
      <c r="E47" t="n">
        <v>937000000</v>
      </c>
      <c r="F47" t="n">
        <v>-630000000</v>
      </c>
    </row>
    <row r="48">
      <c r="A48" s="1" t="inlineStr">
        <is>
          <t>Change In Receivables</t>
        </is>
      </c>
      <c r="C48" t="n">
        <v>-1124000000</v>
      </c>
      <c r="D48" t="n">
        <v>-586000000</v>
      </c>
      <c r="E48" t="n">
        <v>-1083000000</v>
      </c>
      <c r="F48" t="n">
        <v>-261000000</v>
      </c>
    </row>
    <row r="49">
      <c r="A49" s="1" t="inlineStr">
        <is>
          <t>Changes In Account Receivables</t>
        </is>
      </c>
      <c r="C49" t="n">
        <v>-1124000000</v>
      </c>
      <c r="D49" t="n">
        <v>-586000000</v>
      </c>
      <c r="E49" t="n">
        <v>-1083000000</v>
      </c>
      <c r="F49" t="n">
        <v>-261000000</v>
      </c>
    </row>
    <row r="50">
      <c r="A50" s="1" t="inlineStr">
        <is>
          <t>Other Non Cash Items</t>
        </is>
      </c>
      <c r="C50" t="n">
        <v>340000000</v>
      </c>
      <c r="D50" t="n">
        <v>81000000</v>
      </c>
      <c r="E50" t="n">
        <v>172000000</v>
      </c>
      <c r="F50" t="n">
        <v>272000000</v>
      </c>
    </row>
    <row r="51">
      <c r="A51" s="1" t="inlineStr">
        <is>
          <t>Stock Based Compensation</t>
        </is>
      </c>
      <c r="C51" t="n">
        <v>1560000000</v>
      </c>
      <c r="D51" t="n">
        <v>1812000000</v>
      </c>
      <c r="E51" t="n">
        <v>1999000000</v>
      </c>
      <c r="F51" t="n">
        <v>2825000000</v>
      </c>
    </row>
    <row r="52">
      <c r="A52" s="1" t="inlineStr">
        <is>
          <t>Asset Impairment Charge</t>
        </is>
      </c>
      <c r="C52" t="n">
        <v>177000000</v>
      </c>
      <c r="D52" t="n">
        <v>463000000</v>
      </c>
      <c r="E52" t="n">
        <v>335000000</v>
      </c>
      <c r="F52" t="n">
        <v>362000000</v>
      </c>
    </row>
    <row r="53">
      <c r="A53" s="1" t="inlineStr">
        <is>
          <t>Deferred Tax</t>
        </is>
      </c>
      <c r="C53" t="n">
        <v>-196000000</v>
      </c>
      <c r="D53" t="n">
        <v>-6349000000</v>
      </c>
      <c r="E53" t="n">
        <v>477000000</v>
      </c>
      <c r="F53" t="n">
        <v>123000000</v>
      </c>
    </row>
    <row r="54">
      <c r="A54" s="1" t="inlineStr">
        <is>
          <t>Deferred Income Tax</t>
        </is>
      </c>
      <c r="C54" t="n">
        <v>-196000000</v>
      </c>
      <c r="D54" t="n">
        <v>-6349000000</v>
      </c>
      <c r="E54" t="n">
        <v>477000000</v>
      </c>
      <c r="F54" t="n">
        <v>123000000</v>
      </c>
    </row>
    <row r="55">
      <c r="A55" s="1" t="inlineStr">
        <is>
          <t>Depreciation Amortization Depletion</t>
        </is>
      </c>
      <c r="C55" t="n">
        <v>3747000000</v>
      </c>
      <c r="D55" t="n">
        <v>4667000000</v>
      </c>
      <c r="E55" t="n">
        <v>5368000000</v>
      </c>
      <c r="F55" t="n">
        <v>6148000000</v>
      </c>
    </row>
    <row r="56">
      <c r="A56" s="1" t="inlineStr">
        <is>
          <t>Depreciation And Amortization</t>
        </is>
      </c>
      <c r="C56" t="n">
        <v>3747000000</v>
      </c>
      <c r="D56" t="n">
        <v>4667000000</v>
      </c>
      <c r="E56" t="n">
        <v>5368000000</v>
      </c>
      <c r="F56" t="n">
        <v>6148000000</v>
      </c>
    </row>
    <row r="57">
      <c r="A57" s="1" t="inlineStr">
        <is>
          <t>Depreciation</t>
        </is>
      </c>
      <c r="C57" t="n">
        <v>3747000000</v>
      </c>
      <c r="D57" t="n">
        <v>4667000000</v>
      </c>
      <c r="E57" t="n">
        <v>5368000000</v>
      </c>
      <c r="F57" t="n">
        <v>6148000000</v>
      </c>
    </row>
    <row r="58">
      <c r="A58" s="1" t="inlineStr">
        <is>
          <t>Operating Gains Losses</t>
        </is>
      </c>
      <c r="C58" t="n">
        <v>221000000</v>
      </c>
      <c r="D58" t="n">
        <v>-144000000</v>
      </c>
      <c r="E58" t="n">
        <v>-662000000</v>
      </c>
      <c r="F58" t="n">
        <v>520000000</v>
      </c>
    </row>
    <row r="59">
      <c r="A59" s="1" t="inlineStr">
        <is>
          <t>Net Foreign Currency Exchange Gain Loss</t>
        </is>
      </c>
      <c r="C59" t="n">
        <v>81000000</v>
      </c>
      <c r="D59" t="n">
        <v>-144000000</v>
      </c>
      <c r="E59" t="n">
        <v>-73000000</v>
      </c>
      <c r="F59" t="n">
        <v>452000000</v>
      </c>
    </row>
    <row r="60">
      <c r="A60" s="1" t="inlineStr">
        <is>
          <t>Gain Loss On Sale Of PPE</t>
        </is>
      </c>
      <c r="C60" t="n">
        <v>140000000</v>
      </c>
      <c r="D60" t="n">
        <v>0</v>
      </c>
      <c r="E60" t="n">
        <v>-589000000</v>
      </c>
      <c r="F60" t="n">
        <v>68000000</v>
      </c>
    </row>
    <row r="61">
      <c r="A61" s="1" t="inlineStr">
        <is>
          <t>Net Income From Continuing Operations</t>
        </is>
      </c>
      <c r="C61" t="n">
        <v>12587000000</v>
      </c>
      <c r="D61" t="n">
        <v>14974000000</v>
      </c>
      <c r="E61" t="n">
        <v>7153000000</v>
      </c>
      <c r="F61" t="n">
        <v>3855000000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Open</t>
        </is>
      </c>
      <c r="C1" s="1" t="inlineStr">
        <is>
          <t>High</t>
        </is>
      </c>
      <c r="D1" s="1" t="inlineStr">
        <is>
          <t>Low</t>
        </is>
      </c>
      <c r="E1" s="1" t="inlineStr">
        <is>
          <t>Close</t>
        </is>
      </c>
      <c r="F1" s="1" t="inlineStr">
        <is>
          <t>Volume</t>
        </is>
      </c>
      <c r="G1" s="1" t="inlineStr">
        <is>
          <t>Dividends</t>
        </is>
      </c>
      <c r="H1" s="1" t="inlineStr">
        <is>
          <t>Stock Splits</t>
        </is>
      </c>
    </row>
    <row r="2">
      <c r="A2" s="3" t="n">
        <v>45825</v>
      </c>
      <c r="B2" t="n">
        <v>326.0899963378906</v>
      </c>
      <c r="C2" t="n">
        <v>327.260009765625</v>
      </c>
      <c r="D2" t="n">
        <v>314.739990234375</v>
      </c>
      <c r="E2" t="n">
        <v>316.3500061035156</v>
      </c>
      <c r="F2" t="n">
        <v>88282700</v>
      </c>
      <c r="G2" t="n">
        <v>0</v>
      </c>
      <c r="H2" t="n">
        <v>0</v>
      </c>
    </row>
    <row r="3">
      <c r="A3" s="3" t="n">
        <v>45826</v>
      </c>
      <c r="B3" t="n">
        <v>317.3099975585938</v>
      </c>
      <c r="C3" t="n">
        <v>329.3200073242188</v>
      </c>
      <c r="D3" t="n">
        <v>315.4500122070312</v>
      </c>
      <c r="E3" t="n">
        <v>322.0499877929688</v>
      </c>
      <c r="F3" t="n">
        <v>95137700</v>
      </c>
      <c r="G3" t="n">
        <v>0</v>
      </c>
      <c r="H3" t="n">
        <v>0</v>
      </c>
    </row>
    <row r="4">
      <c r="A4" s="3" t="n">
        <v>45828</v>
      </c>
      <c r="B4" t="n">
        <v>327.9500122070312</v>
      </c>
      <c r="C4" t="n">
        <v>332.3599853515625</v>
      </c>
      <c r="D4" t="n">
        <v>317.7799987792969</v>
      </c>
      <c r="E4" t="n">
        <v>322.1600036621094</v>
      </c>
      <c r="F4" t="n">
        <v>108688000</v>
      </c>
      <c r="G4" t="n">
        <v>0</v>
      </c>
      <c r="H4" t="n">
        <v>0</v>
      </c>
    </row>
    <row r="5">
      <c r="A5" s="3" t="n">
        <v>45831</v>
      </c>
      <c r="B5" t="n">
        <v>327.5400085449219</v>
      </c>
      <c r="C5" t="n">
        <v>357.5400085449219</v>
      </c>
      <c r="D5" t="n">
        <v>327.4800109863281</v>
      </c>
      <c r="E5" t="n">
        <v>348.6799926757812</v>
      </c>
      <c r="F5" t="n">
        <v>190716800</v>
      </c>
      <c r="G5" t="n">
        <v>0</v>
      </c>
      <c r="H5" t="n">
        <v>0</v>
      </c>
    </row>
    <row r="6">
      <c r="A6" s="3" t="n">
        <v>45832</v>
      </c>
      <c r="B6" t="n">
        <v>356.1700134277344</v>
      </c>
      <c r="C6" t="n">
        <v>356.260009765625</v>
      </c>
      <c r="D6" t="n">
        <v>340.4400024414062</v>
      </c>
      <c r="E6" t="n">
        <v>340.4700012207031</v>
      </c>
      <c r="F6" t="n">
        <v>114736200</v>
      </c>
      <c r="G6" t="n">
        <v>0</v>
      </c>
      <c r="H6" t="n">
        <v>0</v>
      </c>
    </row>
    <row r="7">
      <c r="A7" s="3" t="n">
        <v>45833</v>
      </c>
      <c r="B7" t="n">
        <v>342.7000122070312</v>
      </c>
      <c r="C7" t="n">
        <v>343</v>
      </c>
      <c r="D7" t="n">
        <v>320.3999938964844</v>
      </c>
      <c r="E7" t="n">
        <v>327.5499877929688</v>
      </c>
      <c r="F7" t="n">
        <v>119845100</v>
      </c>
      <c r="G7" t="n">
        <v>0</v>
      </c>
      <c r="H7" t="n">
        <v>0</v>
      </c>
    </row>
    <row r="8">
      <c r="A8" s="3" t="n">
        <v>45834</v>
      </c>
      <c r="B8" t="n">
        <v>324.6099853515625</v>
      </c>
      <c r="C8" t="n">
        <v>331.0499877929688</v>
      </c>
      <c r="D8" t="n">
        <v>323.6099853515625</v>
      </c>
      <c r="E8" t="n">
        <v>325.7799987792969</v>
      </c>
      <c r="F8" t="n">
        <v>80440900</v>
      </c>
      <c r="G8" t="n">
        <v>0</v>
      </c>
      <c r="H8" t="n">
        <v>0</v>
      </c>
    </row>
    <row r="9">
      <c r="A9" s="3" t="n">
        <v>45835</v>
      </c>
      <c r="B9" t="n">
        <v>324.510009765625</v>
      </c>
      <c r="C9" t="n">
        <v>329.3399963378906</v>
      </c>
      <c r="D9" t="n">
        <v>317.5</v>
      </c>
      <c r="E9" t="n">
        <v>323.6300048828125</v>
      </c>
      <c r="F9" t="n">
        <v>89067000</v>
      </c>
      <c r="G9" t="n">
        <v>0</v>
      </c>
      <c r="H9" t="n">
        <v>0</v>
      </c>
    </row>
    <row r="10">
      <c r="A10" s="3" t="n">
        <v>45838</v>
      </c>
      <c r="B10" t="n">
        <v>319.8999938964844</v>
      </c>
      <c r="C10" t="n">
        <v>325.5799865722656</v>
      </c>
      <c r="D10" t="n">
        <v>316.6000061035156</v>
      </c>
      <c r="E10" t="n">
        <v>317.6600036621094</v>
      </c>
      <c r="F10" t="n">
        <v>76695100</v>
      </c>
      <c r="G10" t="n">
        <v>0</v>
      </c>
      <c r="H10" t="n">
        <v>0</v>
      </c>
    </row>
    <row r="11">
      <c r="A11" s="3" t="n">
        <v>45839</v>
      </c>
      <c r="B11" t="n">
        <v>298.4599914550781</v>
      </c>
      <c r="C11" t="n">
        <v>305.8900146484375</v>
      </c>
      <c r="D11" t="n">
        <v>293.2099914550781</v>
      </c>
      <c r="E11" t="n">
        <v>300.7099914550781</v>
      </c>
      <c r="F11" t="n">
        <v>145085700</v>
      </c>
      <c r="G11" t="n">
        <v>0</v>
      </c>
      <c r="H11" t="n">
        <v>0</v>
      </c>
    </row>
    <row r="12">
      <c r="A12" s="3" t="n">
        <v>45840</v>
      </c>
      <c r="B12" t="n">
        <v>312.6300048828125</v>
      </c>
      <c r="C12" t="n">
        <v>316.8299865722656</v>
      </c>
      <c r="D12" t="n">
        <v>303.8200073242188</v>
      </c>
      <c r="E12" t="n">
        <v>315.6499938964844</v>
      </c>
      <c r="F12" t="n">
        <v>119483700</v>
      </c>
      <c r="G12" t="n">
        <v>0</v>
      </c>
      <c r="H12" t="n">
        <v>0</v>
      </c>
    </row>
    <row r="13">
      <c r="A13" s="3" t="n">
        <v>45841</v>
      </c>
      <c r="B13" t="n">
        <v>317.989990234375</v>
      </c>
      <c r="C13" t="n">
        <v>318.4500122070312</v>
      </c>
      <c r="D13" t="n">
        <v>312.760009765625</v>
      </c>
      <c r="E13" t="n">
        <v>315.3500061035156</v>
      </c>
      <c r="F13" t="n">
        <v>58042300</v>
      </c>
      <c r="G13" t="n">
        <v>0</v>
      </c>
      <c r="H13" t="n">
        <v>0</v>
      </c>
    </row>
    <row r="14">
      <c r="A14" s="3" t="n">
        <v>45845</v>
      </c>
      <c r="B14" t="n">
        <v>291.3699951171875</v>
      </c>
      <c r="C14" t="n">
        <v>296.1499938964844</v>
      </c>
      <c r="D14" t="n">
        <v>288.7699890136719</v>
      </c>
      <c r="E14" t="n">
        <v>293.9400024414062</v>
      </c>
      <c r="F14" t="n">
        <v>131177900</v>
      </c>
      <c r="G14" t="n">
        <v>0</v>
      </c>
      <c r="H14" t="n">
        <v>0</v>
      </c>
    </row>
    <row r="15">
      <c r="A15" s="3" t="n">
        <v>45846</v>
      </c>
      <c r="B15" t="n">
        <v>297</v>
      </c>
      <c r="C15" t="n">
        <v>304.0499877929688</v>
      </c>
      <c r="D15" t="n">
        <v>294.3500061035156</v>
      </c>
      <c r="E15" t="n">
        <v>297.8099975585938</v>
      </c>
      <c r="F15" t="n">
        <v>103246700</v>
      </c>
      <c r="G15" t="n">
        <v>0</v>
      </c>
      <c r="H15" t="n">
        <v>0</v>
      </c>
    </row>
    <row r="16">
      <c r="A16" s="3" t="n">
        <v>45847</v>
      </c>
      <c r="B16" t="n">
        <v>297.5499877929688</v>
      </c>
      <c r="C16" t="n">
        <v>300.1499938964844</v>
      </c>
      <c r="D16" t="n">
        <v>293.5499877929688</v>
      </c>
      <c r="E16" t="n">
        <v>295.8800048828125</v>
      </c>
      <c r="F16" t="n">
        <v>75586800</v>
      </c>
      <c r="G16" t="n">
        <v>0</v>
      </c>
      <c r="H16" t="n">
        <v>0</v>
      </c>
    </row>
    <row r="17">
      <c r="A17" s="3" t="n">
        <v>45848</v>
      </c>
      <c r="B17" t="n">
        <v>300.0499877929688</v>
      </c>
      <c r="C17" t="n">
        <v>310.4800109863281</v>
      </c>
      <c r="D17" t="n">
        <v>300</v>
      </c>
      <c r="E17" t="n">
        <v>309.8699951171875</v>
      </c>
      <c r="F17" t="n">
        <v>104365300</v>
      </c>
      <c r="G17" t="n">
        <v>0</v>
      </c>
      <c r="H17" t="n">
        <v>0</v>
      </c>
    </row>
    <row r="18">
      <c r="A18" s="3" t="n">
        <v>45849</v>
      </c>
      <c r="B18" t="n">
        <v>307.8900146484375</v>
      </c>
      <c r="C18" t="n">
        <v>314.0899963378906</v>
      </c>
      <c r="D18" t="n">
        <v>305.6499938964844</v>
      </c>
      <c r="E18" t="n">
        <v>313.510009765625</v>
      </c>
      <c r="F18" t="n">
        <v>79236400</v>
      </c>
      <c r="G18" t="n">
        <v>0</v>
      </c>
      <c r="H18" t="n">
        <v>0</v>
      </c>
    </row>
    <row r="19">
      <c r="A19" s="3" t="n">
        <v>45852</v>
      </c>
      <c r="B19" t="n">
        <v>317.7300109863281</v>
      </c>
      <c r="C19" t="n">
        <v>322.6000061035156</v>
      </c>
      <c r="D19" t="n">
        <v>312.6700134277344</v>
      </c>
      <c r="E19" t="n">
        <v>316.8999938964844</v>
      </c>
      <c r="F19" t="n">
        <v>78043400</v>
      </c>
      <c r="G19" t="n">
        <v>0</v>
      </c>
      <c r="H19" t="n">
        <v>0</v>
      </c>
    </row>
    <row r="20">
      <c r="A20" s="3" t="n">
        <v>45853</v>
      </c>
      <c r="B20" t="n">
        <v>319.6799926757812</v>
      </c>
      <c r="C20" t="n">
        <v>321.2000122070312</v>
      </c>
      <c r="D20" t="n">
        <v>310.5</v>
      </c>
      <c r="E20" t="n">
        <v>310.7799987792969</v>
      </c>
      <c r="F20" t="n">
        <v>77556300</v>
      </c>
      <c r="G20" t="n">
        <v>0</v>
      </c>
      <c r="H20" t="n">
        <v>0</v>
      </c>
    </row>
    <row r="21">
      <c r="A21" s="3" t="n">
        <v>45854</v>
      </c>
      <c r="B21" t="n">
        <v>312.7999877929688</v>
      </c>
      <c r="C21" t="n">
        <v>323.5</v>
      </c>
      <c r="D21" t="n">
        <v>312.6199951171875</v>
      </c>
      <c r="E21" t="n">
        <v>321.6700134277344</v>
      </c>
      <c r="F21" t="n">
        <v>97284800</v>
      </c>
      <c r="G21" t="n">
        <v>0</v>
      </c>
      <c r="H21" t="n">
        <v>0</v>
      </c>
    </row>
    <row r="22">
      <c r="A22" s="3" t="n">
        <v>45855</v>
      </c>
      <c r="B22" t="n">
        <v>323.1499938964844</v>
      </c>
      <c r="C22" t="n">
        <v>324.3399963378906</v>
      </c>
      <c r="D22" t="n">
        <v>317.0599975585938</v>
      </c>
      <c r="E22" t="n">
        <v>319.4100036621094</v>
      </c>
      <c r="F22" t="n">
        <v>73922900</v>
      </c>
      <c r="G22" t="n">
        <v>0</v>
      </c>
      <c r="H22" t="n">
        <v>0</v>
      </c>
    </row>
    <row r="23">
      <c r="A23" s="3" t="n">
        <v>45856</v>
      </c>
      <c r="B23" t="n">
        <v>321.6600036621094</v>
      </c>
      <c r="C23" t="n">
        <v>330.8999938964844</v>
      </c>
      <c r="D23" t="n">
        <v>321.4200134277344</v>
      </c>
      <c r="E23" t="n">
        <v>329.6499938964844</v>
      </c>
      <c r="F23" t="n">
        <v>94255000</v>
      </c>
      <c r="G23" t="n">
        <v>0</v>
      </c>
      <c r="H23" t="n">
        <v>0</v>
      </c>
    </row>
    <row r="24">
      <c r="A24" s="3" t="n">
        <v>45859</v>
      </c>
      <c r="B24" t="n">
        <v>334.3999938964844</v>
      </c>
      <c r="C24" t="n">
        <v>338</v>
      </c>
      <c r="D24" t="n">
        <v>326.8800048828125</v>
      </c>
      <c r="E24" t="n">
        <v>328.489990234375</v>
      </c>
      <c r="F24" t="n">
        <v>75768800</v>
      </c>
      <c r="G24" t="n">
        <v>0</v>
      </c>
      <c r="H24" t="n">
        <v>0</v>
      </c>
    </row>
    <row r="25">
      <c r="A25" s="3" t="n">
        <v>45860</v>
      </c>
      <c r="B25" t="n">
        <v>329.739990234375</v>
      </c>
      <c r="C25" t="n">
        <v>335.4100036621094</v>
      </c>
      <c r="D25" t="n">
        <v>321.5499877929688</v>
      </c>
      <c r="E25" t="n">
        <v>332.1099853515625</v>
      </c>
      <c r="F25" t="n">
        <v>77370400</v>
      </c>
      <c r="G25" t="n">
        <v>0</v>
      </c>
      <c r="H25" t="n">
        <v>0</v>
      </c>
    </row>
    <row r="26">
      <c r="A26" s="3" t="n">
        <v>45861</v>
      </c>
      <c r="B26" t="n">
        <v>330.8999938964844</v>
      </c>
      <c r="C26" t="n">
        <v>336.2000122070312</v>
      </c>
      <c r="D26" t="n">
        <v>328.6700134277344</v>
      </c>
      <c r="E26" t="n">
        <v>332.5599975585938</v>
      </c>
      <c r="F26" t="n">
        <v>92553800</v>
      </c>
      <c r="G26" t="n">
        <v>0</v>
      </c>
      <c r="H26" t="n">
        <v>0</v>
      </c>
    </row>
    <row r="27">
      <c r="A27" s="3" t="n">
        <v>45862</v>
      </c>
      <c r="B27" t="n">
        <v>310</v>
      </c>
      <c r="C27" t="n">
        <v>310.1499938964844</v>
      </c>
      <c r="D27" t="n">
        <v>300.4100036621094</v>
      </c>
      <c r="E27" t="n">
        <v>305.2999877929688</v>
      </c>
      <c r="F27" t="n">
        <v>156966000</v>
      </c>
      <c r="G27" t="n">
        <v>0</v>
      </c>
      <c r="H27" t="n">
        <v>0</v>
      </c>
    </row>
    <row r="28">
      <c r="A28" s="3" t="n">
        <v>45863</v>
      </c>
      <c r="B28" t="n">
        <v>308.739990234375</v>
      </c>
      <c r="C28" t="n">
        <v>323.6300048828125</v>
      </c>
      <c r="D28" t="n">
        <v>308.010009765625</v>
      </c>
      <c r="E28" t="n">
        <v>316.0599975585938</v>
      </c>
      <c r="F28" t="n">
        <v>148227000</v>
      </c>
      <c r="G28" t="n">
        <v>0</v>
      </c>
      <c r="H28" t="n">
        <v>0</v>
      </c>
    </row>
    <row r="29">
      <c r="A29" s="3" t="n">
        <v>45866</v>
      </c>
      <c r="B29" t="n">
        <v>318.4500122070312</v>
      </c>
      <c r="C29" t="n">
        <v>330.489990234375</v>
      </c>
      <c r="D29" t="n">
        <v>315.6900024414062</v>
      </c>
      <c r="E29" t="n">
        <v>325.5899963378906</v>
      </c>
      <c r="F29" t="n">
        <v>112673800</v>
      </c>
      <c r="G29" t="n">
        <v>0</v>
      </c>
      <c r="H29" t="n">
        <v>0</v>
      </c>
    </row>
    <row r="30">
      <c r="A30" s="3" t="n">
        <v>45867</v>
      </c>
      <c r="B30" t="n">
        <v>325.5499877929688</v>
      </c>
      <c r="C30" t="n">
        <v>326.25</v>
      </c>
      <c r="D30" t="n">
        <v>318.25</v>
      </c>
      <c r="E30" t="n">
        <v>321.2000122070312</v>
      </c>
      <c r="F30" t="n">
        <v>87358900</v>
      </c>
      <c r="G30" t="n">
        <v>0</v>
      </c>
      <c r="H30" t="n">
        <v>0</v>
      </c>
    </row>
    <row r="31">
      <c r="A31" s="3" t="n">
        <v>45868</v>
      </c>
      <c r="B31" t="n">
        <v>322.1799926757812</v>
      </c>
      <c r="C31" t="n">
        <v>324.4500122070312</v>
      </c>
      <c r="D31" t="n">
        <v>311.6199951171875</v>
      </c>
      <c r="E31" t="n">
        <v>319.0400085449219</v>
      </c>
      <c r="F31" t="n">
        <v>83931900</v>
      </c>
      <c r="G31" t="n">
        <v>0</v>
      </c>
      <c r="H31" t="n">
        <v>0</v>
      </c>
    </row>
    <row r="32">
      <c r="A32" s="3" t="n">
        <v>45869</v>
      </c>
      <c r="B32" t="n">
        <v>319.6099853515625</v>
      </c>
      <c r="C32" t="n">
        <v>321.3699951171875</v>
      </c>
      <c r="D32" t="n">
        <v>306.1000061035156</v>
      </c>
      <c r="E32" t="n">
        <v>308.2699890136719</v>
      </c>
      <c r="F32" t="n">
        <v>85270900</v>
      </c>
      <c r="G32" t="n">
        <v>0</v>
      </c>
      <c r="H32" t="n">
        <v>0</v>
      </c>
    </row>
    <row r="33">
      <c r="A33" s="3" t="n">
        <v>45870</v>
      </c>
      <c r="B33" t="n">
        <v>306.2099914550781</v>
      </c>
      <c r="C33" t="n">
        <v>309.3099975585938</v>
      </c>
      <c r="D33" t="n">
        <v>297.8200073242188</v>
      </c>
      <c r="E33" t="n">
        <v>302.6300048828125</v>
      </c>
      <c r="F33" t="n">
        <v>89121400</v>
      </c>
      <c r="G33" t="n">
        <v>0</v>
      </c>
      <c r="H33" t="n">
        <v>0</v>
      </c>
    </row>
    <row r="34">
      <c r="A34" s="3" t="n">
        <v>45873</v>
      </c>
      <c r="B34" t="n">
        <v>309.0799865722656</v>
      </c>
      <c r="C34" t="n">
        <v>312.1199951171875</v>
      </c>
      <c r="D34" t="n">
        <v>303</v>
      </c>
      <c r="E34" t="n">
        <v>309.260009765625</v>
      </c>
      <c r="F34" t="n">
        <v>78683900</v>
      </c>
      <c r="G34" t="n">
        <v>0</v>
      </c>
      <c r="H34" t="n">
        <v>0</v>
      </c>
    </row>
    <row r="35">
      <c r="A35" s="3" t="n">
        <v>45874</v>
      </c>
      <c r="B35" t="n">
        <v>308.9500122070312</v>
      </c>
      <c r="C35" t="n">
        <v>312.4500122070312</v>
      </c>
      <c r="D35" t="n">
        <v>305.5</v>
      </c>
      <c r="E35" t="n">
        <v>308.7200012207031</v>
      </c>
      <c r="F35" t="n">
        <v>57961300</v>
      </c>
      <c r="G35" t="n">
        <v>0</v>
      </c>
      <c r="H35" t="n">
        <v>0</v>
      </c>
    </row>
    <row r="36">
      <c r="A36" s="3" t="n">
        <v>45875</v>
      </c>
      <c r="B36" t="n">
        <v>307.8900146484375</v>
      </c>
      <c r="C36" t="n">
        <v>320.4700012207031</v>
      </c>
      <c r="D36" t="n">
        <v>306.9299926757812</v>
      </c>
      <c r="E36" t="n">
        <v>319.9100036621094</v>
      </c>
      <c r="F36" t="n">
        <v>78523600</v>
      </c>
      <c r="G36" t="n">
        <v>0</v>
      </c>
      <c r="H36" t="n">
        <v>0</v>
      </c>
    </row>
    <row r="37">
      <c r="A37" s="3" t="n">
        <v>45876</v>
      </c>
      <c r="B37" t="n">
        <v>319.7900085449219</v>
      </c>
      <c r="C37" t="n">
        <v>322.3999938964844</v>
      </c>
      <c r="D37" t="n">
        <v>316.1600036621094</v>
      </c>
      <c r="E37" t="n">
        <v>322.2699890136719</v>
      </c>
      <c r="F37" t="n">
        <v>66658700</v>
      </c>
      <c r="G37" t="n">
        <v>0</v>
      </c>
      <c r="H37" t="n">
        <v>0</v>
      </c>
    </row>
    <row r="38">
      <c r="A38" s="3" t="n">
        <v>45877</v>
      </c>
      <c r="B38" t="n">
        <v>321.4299926757812</v>
      </c>
      <c r="C38" t="n">
        <v>335.1499938964844</v>
      </c>
      <c r="D38" t="n">
        <v>320.9800109863281</v>
      </c>
      <c r="E38" t="n">
        <v>329.6499938964844</v>
      </c>
      <c r="F38" t="n">
        <v>91200300</v>
      </c>
      <c r="G38" t="n">
        <v>0</v>
      </c>
      <c r="H38" t="n">
        <v>0</v>
      </c>
    </row>
    <row r="39">
      <c r="A39" s="3" t="n">
        <v>45880</v>
      </c>
      <c r="B39" t="n">
        <v>335</v>
      </c>
      <c r="C39" t="n">
        <v>346.6400146484375</v>
      </c>
      <c r="D39" t="n">
        <v>334.1499938964844</v>
      </c>
      <c r="E39" t="n">
        <v>339.0299987792969</v>
      </c>
      <c r="F39" t="n">
        <v>105320200</v>
      </c>
      <c r="G39" t="n">
        <v>0</v>
      </c>
      <c r="H39" t="n">
        <v>0</v>
      </c>
    </row>
    <row r="40">
      <c r="A40" s="3" t="n">
        <v>45881</v>
      </c>
      <c r="B40" t="n">
        <v>345</v>
      </c>
      <c r="C40" t="n">
        <v>345.260009765625</v>
      </c>
      <c r="D40" t="n">
        <v>332.9400024414062</v>
      </c>
      <c r="E40" t="n">
        <v>340.8399963378906</v>
      </c>
      <c r="F40" t="n">
        <v>80522100</v>
      </c>
      <c r="G40" t="n">
        <v>0</v>
      </c>
      <c r="H40" t="n">
        <v>0</v>
      </c>
    </row>
    <row r="41">
      <c r="A41" s="3" t="n">
        <v>45882</v>
      </c>
      <c r="B41" t="n">
        <v>341.5</v>
      </c>
      <c r="C41" t="n">
        <v>348.9800109863281</v>
      </c>
      <c r="D41" t="n">
        <v>338.2000122070312</v>
      </c>
      <c r="E41" t="n">
        <v>339.3800048828125</v>
      </c>
      <c r="F41" t="n">
        <v>67838900</v>
      </c>
      <c r="G41" t="n">
        <v>0</v>
      </c>
      <c r="H41" t="n">
        <v>0</v>
      </c>
    </row>
    <row r="42">
      <c r="A42" s="3" t="n">
        <v>45883</v>
      </c>
      <c r="B42" t="n">
        <v>335.760009765625</v>
      </c>
      <c r="C42" t="n">
        <v>340.4700012207031</v>
      </c>
      <c r="D42" t="n">
        <v>330.3999938964844</v>
      </c>
      <c r="E42" t="n">
        <v>335.5799865722656</v>
      </c>
      <c r="F42" t="n">
        <v>75000700</v>
      </c>
      <c r="G42" t="n">
        <v>0</v>
      </c>
      <c r="H42" t="n">
        <v>0</v>
      </c>
    </row>
    <row r="43">
      <c r="A43" s="3" t="n">
        <v>45884</v>
      </c>
      <c r="B43" t="n">
        <v>337.6600036621094</v>
      </c>
      <c r="C43" t="n">
        <v>339.2999877929688</v>
      </c>
      <c r="D43" t="n">
        <v>327.0199890136719</v>
      </c>
      <c r="E43" t="n">
        <v>330.5599975585938</v>
      </c>
      <c r="F43" t="n">
        <v>74319800</v>
      </c>
      <c r="G43" t="n">
        <v>0</v>
      </c>
      <c r="H43" t="n">
        <v>0</v>
      </c>
    </row>
    <row r="44">
      <c r="A44" s="3" t="n">
        <v>45887</v>
      </c>
      <c r="B44" t="n">
        <v>329.6199951171875</v>
      </c>
      <c r="C44" t="n">
        <v>336.2699890136719</v>
      </c>
      <c r="D44" t="n">
        <v>329.5899963378906</v>
      </c>
      <c r="E44" t="n">
        <v>335.1600036621094</v>
      </c>
      <c r="F44" t="n">
        <v>56956600</v>
      </c>
      <c r="G44" t="n">
        <v>0</v>
      </c>
      <c r="H44" t="n">
        <v>0</v>
      </c>
    </row>
    <row r="45">
      <c r="A45" s="3" t="n">
        <v>45888</v>
      </c>
      <c r="B45" t="n">
        <v>335.7900085449219</v>
      </c>
      <c r="C45" t="n">
        <v>340.5499877929688</v>
      </c>
      <c r="D45" t="n">
        <v>327.8500061035156</v>
      </c>
      <c r="E45" t="n">
        <v>329.3099975585938</v>
      </c>
      <c r="F45" t="n">
        <v>75956000</v>
      </c>
      <c r="G45" t="n">
        <v>0</v>
      </c>
      <c r="H45" t="n">
        <v>0</v>
      </c>
    </row>
    <row r="46">
      <c r="A46" s="3" t="n">
        <v>45889</v>
      </c>
      <c r="B46" t="n">
        <v>329.2200012207031</v>
      </c>
      <c r="C46" t="n">
        <v>331.3699951171875</v>
      </c>
      <c r="D46" t="n">
        <v>314.6000061035156</v>
      </c>
      <c r="E46" t="n">
        <v>323.8999938964844</v>
      </c>
      <c r="F46" t="n">
        <v>77481800</v>
      </c>
      <c r="G46" t="n">
        <v>0</v>
      </c>
      <c r="H46" t="n">
        <v>0</v>
      </c>
    </row>
    <row r="47">
      <c r="A47" s="3" t="n">
        <v>45890</v>
      </c>
      <c r="B47" t="n">
        <v>322.0799865722656</v>
      </c>
      <c r="C47" t="n">
        <v>324.8999938964844</v>
      </c>
      <c r="D47" t="n">
        <v>318.6799926757812</v>
      </c>
      <c r="E47" t="n">
        <v>320.1099853515625</v>
      </c>
      <c r="F47" t="n">
        <v>55744400</v>
      </c>
      <c r="G47" t="n">
        <v>0</v>
      </c>
      <c r="H47" t="n">
        <v>0</v>
      </c>
    </row>
    <row r="48">
      <c r="A48" s="3" t="n">
        <v>45891</v>
      </c>
      <c r="B48" t="n">
        <v>321.6600036621094</v>
      </c>
      <c r="C48" t="n">
        <v>340.25</v>
      </c>
      <c r="D48" t="n">
        <v>319.6900024414062</v>
      </c>
      <c r="E48" t="n">
        <v>340.010009765625</v>
      </c>
      <c r="F48" t="n">
        <v>94016300</v>
      </c>
      <c r="G48" t="n">
        <v>0</v>
      </c>
      <c r="H48" t="n">
        <v>0</v>
      </c>
    </row>
    <row r="49">
      <c r="A49" s="3" t="n">
        <v>45894</v>
      </c>
      <c r="B49" t="n">
        <v>338.8999938964844</v>
      </c>
      <c r="C49" t="n">
        <v>349.5299987792969</v>
      </c>
      <c r="D49" t="n">
        <v>335.0299987792969</v>
      </c>
      <c r="E49" t="n">
        <v>346.6000061035156</v>
      </c>
      <c r="F49" t="n">
        <v>86670000</v>
      </c>
      <c r="G49" t="n">
        <v>0</v>
      </c>
      <c r="H49" t="n">
        <v>0</v>
      </c>
    </row>
    <row r="50">
      <c r="A50" s="3" t="n">
        <v>45895</v>
      </c>
      <c r="B50" t="n">
        <v>344.9299926757812</v>
      </c>
      <c r="C50" t="n">
        <v>351.8999938964844</v>
      </c>
      <c r="D50" t="n">
        <v>343.7200012207031</v>
      </c>
      <c r="E50" t="n">
        <v>351.6700134277344</v>
      </c>
      <c r="F50" t="n">
        <v>76651600</v>
      </c>
      <c r="G50" t="n">
        <v>0</v>
      </c>
      <c r="H50" t="n">
        <v>0</v>
      </c>
    </row>
    <row r="51">
      <c r="A51" s="3" t="n">
        <v>45896</v>
      </c>
      <c r="B51" t="n">
        <v>351.9400024414062</v>
      </c>
      <c r="C51" t="n">
        <v>355.3900146484375</v>
      </c>
      <c r="D51" t="n">
        <v>349.1600036621094</v>
      </c>
      <c r="E51" t="n">
        <v>349.6000061035156</v>
      </c>
      <c r="F51" t="n">
        <v>65519000</v>
      </c>
      <c r="G51" t="n">
        <v>0</v>
      </c>
      <c r="H51" t="n">
        <v>0</v>
      </c>
    </row>
    <row r="52">
      <c r="A52" s="3" t="n">
        <v>45897</v>
      </c>
      <c r="B52" t="n">
        <v>350.9100036621094</v>
      </c>
      <c r="C52" t="n">
        <v>353.5499877929688</v>
      </c>
      <c r="D52" t="n">
        <v>340.260009765625</v>
      </c>
      <c r="E52" t="n">
        <v>345.9800109863281</v>
      </c>
      <c r="F52" t="n">
        <v>67903200</v>
      </c>
      <c r="G52" t="n">
        <v>0</v>
      </c>
      <c r="H52" t="n">
        <v>0</v>
      </c>
    </row>
    <row r="53">
      <c r="A53" s="3" t="n">
        <v>45898</v>
      </c>
      <c r="B53" t="n">
        <v>347.2300109863281</v>
      </c>
      <c r="C53" t="n">
        <v>348.75</v>
      </c>
      <c r="D53" t="n">
        <v>331.7000122070312</v>
      </c>
      <c r="E53" t="n">
        <v>333.8699951171875</v>
      </c>
      <c r="F53" t="n">
        <v>81145700</v>
      </c>
      <c r="G53" t="n">
        <v>0</v>
      </c>
      <c r="H53" t="n">
        <v>0</v>
      </c>
    </row>
    <row r="54">
      <c r="A54" s="3" t="n">
        <v>45902</v>
      </c>
      <c r="B54" t="n">
        <v>328.2300109863281</v>
      </c>
      <c r="C54" t="n">
        <v>333.3299865722656</v>
      </c>
      <c r="D54" t="n">
        <v>325.6000061035156</v>
      </c>
      <c r="E54" t="n">
        <v>329.3599853515625</v>
      </c>
      <c r="F54" t="n">
        <v>58392000</v>
      </c>
      <c r="G54" t="n">
        <v>0</v>
      </c>
      <c r="H54" t="n">
        <v>0</v>
      </c>
    </row>
    <row r="55">
      <c r="A55" s="3" t="n">
        <v>45903</v>
      </c>
      <c r="B55" t="n">
        <v>335.2000122070312</v>
      </c>
      <c r="C55" t="n">
        <v>343.3299865722656</v>
      </c>
      <c r="D55" t="n">
        <v>328.510009765625</v>
      </c>
      <c r="E55" t="n">
        <v>334.0899963378906</v>
      </c>
      <c r="F55" t="n">
        <v>88733300</v>
      </c>
      <c r="G55" t="n">
        <v>0</v>
      </c>
      <c r="H55" t="n">
        <v>0</v>
      </c>
    </row>
    <row r="56">
      <c r="A56" s="3" t="n">
        <v>45904</v>
      </c>
      <c r="B56" t="n">
        <v>336.1499938964844</v>
      </c>
      <c r="C56" t="n">
        <v>338.8900146484375</v>
      </c>
      <c r="D56" t="n">
        <v>331.4800109863281</v>
      </c>
      <c r="E56" t="n">
        <v>338.5299987792969</v>
      </c>
      <c r="F56" t="n">
        <v>60711000</v>
      </c>
      <c r="G56" t="n">
        <v>0</v>
      </c>
      <c r="H56" t="n">
        <v>0</v>
      </c>
    </row>
    <row r="57">
      <c r="A57" s="3" t="n">
        <v>45905</v>
      </c>
      <c r="B57" t="n">
        <v>348</v>
      </c>
      <c r="C57" t="n">
        <v>355.8699951171875</v>
      </c>
      <c r="D57" t="n">
        <v>344.6799926757812</v>
      </c>
      <c r="E57" t="n">
        <v>350.8399963378906</v>
      </c>
      <c r="F57" t="n">
        <v>108989800</v>
      </c>
      <c r="G57" t="n">
        <v>0</v>
      </c>
      <c r="H57" t="n">
        <v>0</v>
      </c>
    </row>
    <row r="58">
      <c r="A58" s="3" t="n">
        <v>45908</v>
      </c>
      <c r="B58" t="n">
        <v>354.6400146484375</v>
      </c>
      <c r="C58" t="n">
        <v>358.4400024414062</v>
      </c>
      <c r="D58" t="n">
        <v>344.8399963378906</v>
      </c>
      <c r="E58" t="n">
        <v>346.3999938964844</v>
      </c>
      <c r="F58" t="n">
        <v>75208300</v>
      </c>
      <c r="G58" t="n">
        <v>0</v>
      </c>
      <c r="H58" t="n">
        <v>0</v>
      </c>
    </row>
    <row r="59">
      <c r="A59" s="3" t="n">
        <v>45909</v>
      </c>
      <c r="B59" t="n">
        <v>348.4400024414062</v>
      </c>
      <c r="C59" t="n">
        <v>350.7699890136719</v>
      </c>
      <c r="D59" t="n">
        <v>343.8200073242188</v>
      </c>
      <c r="E59" t="n">
        <v>346.9700012207031</v>
      </c>
      <c r="F59" t="n">
        <v>53816000</v>
      </c>
      <c r="G59" t="n">
        <v>0</v>
      </c>
      <c r="H59" t="n">
        <v>0</v>
      </c>
    </row>
    <row r="60">
      <c r="A60" s="3" t="n">
        <v>45910</v>
      </c>
      <c r="B60" t="n">
        <v>350.5499877929688</v>
      </c>
      <c r="C60" t="n">
        <v>356.3299865722656</v>
      </c>
      <c r="D60" t="n">
        <v>346.0700073242188</v>
      </c>
      <c r="E60" t="n">
        <v>347.7900085449219</v>
      </c>
      <c r="F60" t="n">
        <v>72121700</v>
      </c>
      <c r="G60" t="n">
        <v>0</v>
      </c>
      <c r="H60" t="n">
        <v>0</v>
      </c>
    </row>
    <row r="61">
      <c r="A61" s="3" t="n">
        <v>45911</v>
      </c>
      <c r="B61" t="n">
        <v>350.1700134277344</v>
      </c>
      <c r="C61" t="n">
        <v>368.989990234375</v>
      </c>
      <c r="D61" t="n">
        <v>347.6000061035156</v>
      </c>
      <c r="E61" t="n">
        <v>368.8099975585938</v>
      </c>
      <c r="F61" t="n">
        <v>103756000</v>
      </c>
      <c r="G61" t="n">
        <v>0</v>
      </c>
      <c r="H61" t="n">
        <v>0</v>
      </c>
    </row>
    <row r="62">
      <c r="A62" s="3" t="n">
        <v>45912</v>
      </c>
      <c r="B62" t="n">
        <v>370.9400024414062</v>
      </c>
      <c r="C62" t="n">
        <v>396.6900024414062</v>
      </c>
      <c r="D62" t="n">
        <v>370.239990234375</v>
      </c>
      <c r="E62" t="n">
        <v>395.9400024414062</v>
      </c>
      <c r="F62" t="n">
        <v>168156400</v>
      </c>
      <c r="G62" t="n">
        <v>0</v>
      </c>
      <c r="H62" t="n">
        <v>0</v>
      </c>
    </row>
    <row r="63">
      <c r="A63" s="3" t="n">
        <v>45915</v>
      </c>
      <c r="B63" t="n">
        <v>423.1300048828125</v>
      </c>
      <c r="C63" t="n">
        <v>425.7000122070312</v>
      </c>
      <c r="D63" t="n">
        <v>402.4299926757812</v>
      </c>
      <c r="E63" t="n">
        <v>410.0400085449219</v>
      </c>
      <c r="F63" t="n">
        <v>163823700</v>
      </c>
      <c r="G63" t="n">
        <v>0</v>
      </c>
      <c r="H63" t="n">
        <v>0</v>
      </c>
    </row>
    <row r="64">
      <c r="A64" s="3" t="n">
        <v>45916</v>
      </c>
      <c r="B64" t="n">
        <v>414.5</v>
      </c>
      <c r="C64" t="n">
        <v>423.25</v>
      </c>
      <c r="D64" t="n">
        <v>411.4299926757812</v>
      </c>
      <c r="E64" t="n">
        <v>421.6199951171875</v>
      </c>
      <c r="F64" t="n">
        <v>104285700</v>
      </c>
      <c r="G64" t="n">
        <v>0</v>
      </c>
      <c r="H64" t="n">
        <v>0</v>
      </c>
    </row>
    <row r="65">
      <c r="A65" s="3" t="n">
        <v>45917</v>
      </c>
      <c r="B65" t="n">
        <v>415.75</v>
      </c>
      <c r="C65" t="n">
        <v>428.3099975585938</v>
      </c>
      <c r="D65" t="n">
        <v>409.6700134277344</v>
      </c>
      <c r="E65" t="n">
        <v>425.8599853515625</v>
      </c>
      <c r="F65" t="n">
        <v>106133500</v>
      </c>
      <c r="G65" t="n">
        <v>0</v>
      </c>
      <c r="H65" t="n">
        <v>0</v>
      </c>
    </row>
    <row r="66">
      <c r="A66" s="3" t="n">
        <v>45918</v>
      </c>
      <c r="B66" t="n">
        <v>428.8699951171875</v>
      </c>
      <c r="C66" t="n">
        <v>432.2200012207031</v>
      </c>
      <c r="D66" t="n">
        <v>416.5599975585938</v>
      </c>
      <c r="E66" t="n">
        <v>416.8500061035156</v>
      </c>
      <c r="F66" t="n">
        <v>90454500</v>
      </c>
      <c r="G66" t="n">
        <v>0</v>
      </c>
      <c r="H66" t="n">
        <v>0</v>
      </c>
    </row>
    <row r="67">
      <c r="A67" s="3" t="n">
        <v>45919</v>
      </c>
      <c r="B67" t="n">
        <v>421.8200073242188</v>
      </c>
      <c r="C67" t="n">
        <v>429.4700012207031</v>
      </c>
      <c r="D67" t="n">
        <v>421.7200012207031</v>
      </c>
      <c r="E67" t="n">
        <v>426.0700073242188</v>
      </c>
      <c r="F67" t="n">
        <v>93131000</v>
      </c>
      <c r="G67" t="n">
        <v>0</v>
      </c>
      <c r="H67" t="n">
        <v>0</v>
      </c>
    </row>
    <row r="68">
      <c r="A68" s="3" t="n">
        <v>45922</v>
      </c>
      <c r="B68" t="n">
        <v>431.1099853515625</v>
      </c>
      <c r="C68" t="n">
        <v>444.9800109863281</v>
      </c>
      <c r="D68" t="n">
        <v>429.1300048828125</v>
      </c>
      <c r="E68" t="n">
        <v>434.2099914550781</v>
      </c>
      <c r="F68" t="n">
        <v>97108800</v>
      </c>
      <c r="G68" t="n">
        <v>0</v>
      </c>
      <c r="H68" t="n">
        <v>0</v>
      </c>
    </row>
    <row r="69">
      <c r="A69" s="3" t="n">
        <v>45923</v>
      </c>
      <c r="B69" t="n">
        <v>439.8800048828125</v>
      </c>
      <c r="C69" t="n">
        <v>440.9700012207031</v>
      </c>
      <c r="D69" t="n">
        <v>423.7200012207031</v>
      </c>
      <c r="E69" t="n">
        <v>425.8500061035156</v>
      </c>
      <c r="F69" t="n">
        <v>83422700</v>
      </c>
      <c r="G69" t="n">
        <v>0</v>
      </c>
      <c r="H69" t="n">
        <v>0</v>
      </c>
    </row>
    <row r="70">
      <c r="A70" s="3" t="n">
        <v>45924</v>
      </c>
      <c r="B70" t="n">
        <v>429.8299865722656</v>
      </c>
      <c r="C70" t="n">
        <v>444.2099914550781</v>
      </c>
      <c r="D70" t="n">
        <v>429.0299987792969</v>
      </c>
      <c r="E70" t="n">
        <v>442.7900085449219</v>
      </c>
      <c r="F70" t="n">
        <v>93133600</v>
      </c>
      <c r="G70" t="n">
        <v>0</v>
      </c>
      <c r="H70" t="n">
        <v>0</v>
      </c>
    </row>
    <row r="71">
      <c r="A71" s="3" t="n">
        <v>45925</v>
      </c>
      <c r="B71" t="n">
        <v>435.239990234375</v>
      </c>
      <c r="C71" t="n">
        <v>435.3500061035156</v>
      </c>
      <c r="D71" t="n">
        <v>419.0799865722656</v>
      </c>
      <c r="E71" t="n">
        <v>423.3900146484375</v>
      </c>
      <c r="F71" t="n">
        <v>96746400</v>
      </c>
      <c r="G71" t="n">
        <v>0</v>
      </c>
      <c r="H71" t="n">
        <v>0</v>
      </c>
    </row>
    <row r="72">
      <c r="A72" s="3" t="n">
        <v>45926</v>
      </c>
      <c r="B72" t="n">
        <v>428.2999877929688</v>
      </c>
      <c r="C72" t="n">
        <v>440.4700012207031</v>
      </c>
      <c r="D72" t="n">
        <v>421.0199890136719</v>
      </c>
      <c r="E72" t="n">
        <v>440.3999938964844</v>
      </c>
      <c r="F72" t="n">
        <v>101628200</v>
      </c>
      <c r="G72" t="n">
        <v>0</v>
      </c>
      <c r="H72" t="n">
        <v>0</v>
      </c>
    </row>
    <row r="73">
      <c r="A73" s="3" t="n">
        <v>45929</v>
      </c>
      <c r="B73" t="n">
        <v>444.3500061035156</v>
      </c>
      <c r="C73" t="n">
        <v>450.9800109863281</v>
      </c>
      <c r="D73" t="n">
        <v>439.5</v>
      </c>
      <c r="E73" t="n">
        <v>443.2099914550781</v>
      </c>
      <c r="F73" t="n">
        <v>79491500</v>
      </c>
      <c r="G73" t="n">
        <v>0</v>
      </c>
      <c r="H73" t="n">
        <v>0</v>
      </c>
    </row>
    <row r="74">
      <c r="A74" s="3" t="n">
        <v>45930</v>
      </c>
      <c r="B74" t="n">
        <v>441.5199890136719</v>
      </c>
      <c r="C74" t="n">
        <v>445</v>
      </c>
      <c r="D74" t="n">
        <v>433.1199951171875</v>
      </c>
      <c r="E74" t="n">
        <v>444.7200012207031</v>
      </c>
      <c r="F74" t="n">
        <v>74358000</v>
      </c>
      <c r="G74" t="n">
        <v>0</v>
      </c>
      <c r="H74" t="n">
        <v>0</v>
      </c>
    </row>
    <row r="75">
      <c r="A75" s="3" t="n">
        <v>45931</v>
      </c>
      <c r="B75" t="n">
        <v>443.7999877929688</v>
      </c>
      <c r="C75" t="n">
        <v>462.2900085449219</v>
      </c>
      <c r="D75" t="n">
        <v>440.75</v>
      </c>
      <c r="E75" t="n">
        <v>459.4599914550781</v>
      </c>
      <c r="F75" t="n">
        <v>98122300</v>
      </c>
      <c r="G75" t="n">
        <v>0</v>
      </c>
      <c r="H75" t="n">
        <v>0</v>
      </c>
    </row>
    <row r="76">
      <c r="A76" s="3" t="n">
        <v>45932</v>
      </c>
      <c r="B76" t="n">
        <v>470.5400085449219</v>
      </c>
      <c r="C76" t="n">
        <v>470.75</v>
      </c>
      <c r="D76" t="n">
        <v>435.5700073242188</v>
      </c>
      <c r="E76" t="n">
        <v>436</v>
      </c>
      <c r="F76" t="n">
        <v>137009000</v>
      </c>
      <c r="G76" t="n">
        <v>0</v>
      </c>
      <c r="H76" t="n">
        <v>0</v>
      </c>
    </row>
    <row r="77">
      <c r="A77" s="3" t="n">
        <v>45933</v>
      </c>
      <c r="B77" t="n">
        <v>443.2900085449219</v>
      </c>
      <c r="C77" t="n">
        <v>446.7699890136719</v>
      </c>
      <c r="D77" t="n">
        <v>416.5799865722656</v>
      </c>
      <c r="E77" t="n">
        <v>429.8299865722656</v>
      </c>
      <c r="F77" t="n">
        <v>133188200</v>
      </c>
      <c r="G77" t="n">
        <v>0</v>
      </c>
      <c r="H77" t="n">
        <v>0</v>
      </c>
    </row>
    <row r="78">
      <c r="A78" s="3" t="n">
        <v>45936</v>
      </c>
      <c r="B78" t="n">
        <v>440.75</v>
      </c>
      <c r="C78" t="n">
        <v>453.5499877929688</v>
      </c>
      <c r="D78" t="n">
        <v>436.6900024414062</v>
      </c>
      <c r="E78" t="n">
        <v>453.25</v>
      </c>
      <c r="F78" t="n">
        <v>85324900</v>
      </c>
      <c r="G78" t="n">
        <v>0</v>
      </c>
      <c r="H78" t="n">
        <v>0</v>
      </c>
    </row>
    <row r="79">
      <c r="A79" s="3" t="n">
        <v>45937</v>
      </c>
      <c r="B79" t="n">
        <v>447.8200073242188</v>
      </c>
      <c r="C79" t="n">
        <v>452.6799926757812</v>
      </c>
      <c r="D79" t="n">
        <v>432.4500122070312</v>
      </c>
      <c r="E79" t="n">
        <v>433.0899963378906</v>
      </c>
      <c r="F79" t="n">
        <v>102296100</v>
      </c>
      <c r="G79" t="n">
        <v>0</v>
      </c>
      <c r="H79" t="n">
        <v>0</v>
      </c>
    </row>
    <row r="80">
      <c r="A80" s="3" t="n">
        <v>45938</v>
      </c>
      <c r="B80" t="n">
        <v>437.5700073242188</v>
      </c>
      <c r="C80" t="n">
        <v>441.3299865722656</v>
      </c>
      <c r="D80" t="n">
        <v>425.2300109863281</v>
      </c>
      <c r="E80" t="n">
        <v>438.6900024414062</v>
      </c>
      <c r="F80" t="n">
        <v>71192100</v>
      </c>
      <c r="G80" t="n">
        <v>0</v>
      </c>
      <c r="H80" t="n">
        <v>0</v>
      </c>
    </row>
    <row r="81">
      <c r="A81" s="3" t="n">
        <v>45939</v>
      </c>
      <c r="B81" t="n">
        <v>431.8099975585938</v>
      </c>
      <c r="C81" t="n">
        <v>436.3500061035156</v>
      </c>
      <c r="D81" t="n">
        <v>426.1799926757812</v>
      </c>
      <c r="E81" t="n">
        <v>435.5400085449219</v>
      </c>
      <c r="F81" t="n">
        <v>69339900</v>
      </c>
      <c r="G81" t="n">
        <v>0</v>
      </c>
      <c r="H81" t="n">
        <v>0</v>
      </c>
    </row>
    <row r="82">
      <c r="A82" s="3" t="n">
        <v>45940</v>
      </c>
      <c r="B82" t="n">
        <v>436.5400085449219</v>
      </c>
      <c r="C82" t="n">
        <v>443.1300048828125</v>
      </c>
      <c r="D82" t="n">
        <v>411.4500122070312</v>
      </c>
      <c r="E82" t="n">
        <v>413.489990234375</v>
      </c>
      <c r="F82" t="n">
        <v>112107900</v>
      </c>
      <c r="G82" t="n">
        <v>0</v>
      </c>
      <c r="H82" t="n">
        <v>0</v>
      </c>
    </row>
    <row r="83">
      <c r="A83" s="3" t="n">
        <v>45943</v>
      </c>
      <c r="B83" t="n">
        <v>423.5299987792969</v>
      </c>
      <c r="C83" t="n">
        <v>436.8900146484375</v>
      </c>
      <c r="D83" t="n">
        <v>419.7000122070312</v>
      </c>
      <c r="E83" t="n">
        <v>435.8999938964844</v>
      </c>
      <c r="F83" t="n">
        <v>79552800</v>
      </c>
      <c r="G83" t="n">
        <v>0</v>
      </c>
      <c r="H83" t="n">
        <v>0</v>
      </c>
    </row>
    <row r="84">
      <c r="A84" s="3" t="n">
        <v>45944</v>
      </c>
      <c r="B84" t="n">
        <v>426.7900085449219</v>
      </c>
      <c r="C84" t="n">
        <v>434.2000122070312</v>
      </c>
      <c r="D84" t="n">
        <v>417.8599853515625</v>
      </c>
      <c r="E84" t="n">
        <v>429.239990234375</v>
      </c>
      <c r="F84" t="n">
        <v>72669400</v>
      </c>
      <c r="G84" t="n">
        <v>0</v>
      </c>
      <c r="H84" t="n">
        <v>0</v>
      </c>
    </row>
    <row r="85">
      <c r="A85" s="3" t="n">
        <v>45945</v>
      </c>
      <c r="B85" t="n">
        <v>434.8999938964844</v>
      </c>
      <c r="C85" t="n">
        <v>440.510009765625</v>
      </c>
      <c r="D85" t="n">
        <v>426.3299865722656</v>
      </c>
      <c r="E85" t="n">
        <v>435.1499938964844</v>
      </c>
      <c r="F85" t="n">
        <v>71558200</v>
      </c>
      <c r="G85" t="n">
        <v>0</v>
      </c>
      <c r="H85" t="n">
        <v>0</v>
      </c>
    </row>
    <row r="86">
      <c r="A86" s="3" t="n">
        <v>45946</v>
      </c>
      <c r="B86" t="n">
        <v>434.7300109863281</v>
      </c>
      <c r="C86" t="n">
        <v>439.3500061035156</v>
      </c>
      <c r="D86" t="n">
        <v>421.3099975585938</v>
      </c>
      <c r="E86" t="n">
        <v>428.75</v>
      </c>
      <c r="F86" t="n">
        <v>77189900</v>
      </c>
      <c r="G86" t="n">
        <v>0</v>
      </c>
      <c r="H86" t="n">
        <v>0</v>
      </c>
    </row>
    <row r="87">
      <c r="A87" s="3" t="n">
        <v>45947</v>
      </c>
      <c r="B87" t="n">
        <v>425.5</v>
      </c>
      <c r="C87" t="n">
        <v>441.4599914550781</v>
      </c>
      <c r="D87" t="n">
        <v>423.6000061035156</v>
      </c>
      <c r="E87" t="n">
        <v>439.3099975585938</v>
      </c>
      <c r="F87" t="n">
        <v>89331600</v>
      </c>
      <c r="G87" t="n">
        <v>0</v>
      </c>
      <c r="H87" t="n">
        <v>0</v>
      </c>
    </row>
    <row r="88">
      <c r="A88" s="3" t="n">
        <v>45950</v>
      </c>
      <c r="B88" t="n">
        <v>443.8699951171875</v>
      </c>
      <c r="C88" t="n">
        <v>449.7999877929688</v>
      </c>
      <c r="D88" t="n">
        <v>440.6099853515625</v>
      </c>
      <c r="E88" t="n">
        <v>447.4299926757812</v>
      </c>
      <c r="F88" t="n">
        <v>63719000</v>
      </c>
      <c r="G88" t="n">
        <v>0</v>
      </c>
      <c r="H88" t="n">
        <v>0</v>
      </c>
    </row>
    <row r="89">
      <c r="A89" s="3" t="n">
        <v>45951</v>
      </c>
      <c r="B89" t="n">
        <v>445.760009765625</v>
      </c>
      <c r="C89" t="n">
        <v>449.2999877929688</v>
      </c>
      <c r="D89" t="n">
        <v>442.0499877929688</v>
      </c>
      <c r="E89" t="n">
        <v>442.6000061035156</v>
      </c>
      <c r="F89" t="n">
        <v>54412200</v>
      </c>
      <c r="G89" t="n">
        <v>0</v>
      </c>
      <c r="H89" t="n">
        <v>0</v>
      </c>
    </row>
    <row r="90">
      <c r="A90" s="3" t="n">
        <v>45952</v>
      </c>
      <c r="B90" t="n">
        <v>443.4500122070312</v>
      </c>
      <c r="C90" t="n">
        <v>445.5400085449219</v>
      </c>
      <c r="D90" t="n">
        <v>429</v>
      </c>
      <c r="E90" t="n">
        <v>438.9700012207031</v>
      </c>
      <c r="F90" t="n">
        <v>84023500</v>
      </c>
      <c r="G90" t="n">
        <v>0</v>
      </c>
      <c r="H90" t="n">
        <v>0</v>
      </c>
    </row>
    <row r="91">
      <c r="A91" s="3" t="n">
        <v>45953</v>
      </c>
      <c r="B91" t="n">
        <v>420</v>
      </c>
      <c r="C91" t="n">
        <v>449.3999938964844</v>
      </c>
      <c r="D91" t="n">
        <v>413.8999938964844</v>
      </c>
      <c r="E91" t="n">
        <v>448.9800109863281</v>
      </c>
      <c r="F91" t="n">
        <v>126709800</v>
      </c>
      <c r="G91" t="n">
        <v>0</v>
      </c>
      <c r="H91" t="n">
        <v>0</v>
      </c>
    </row>
    <row r="92">
      <c r="A92" s="3" t="n">
        <v>45954</v>
      </c>
      <c r="B92" t="n">
        <v>446.8299865722656</v>
      </c>
      <c r="C92" t="n">
        <v>451.6799926757812</v>
      </c>
      <c r="D92" t="n">
        <v>430.1700134277344</v>
      </c>
      <c r="E92" t="n">
        <v>433.7200012207031</v>
      </c>
      <c r="F92" t="n">
        <v>94727800</v>
      </c>
      <c r="G92" t="n">
        <v>0</v>
      </c>
      <c r="H92" t="n">
        <v>0</v>
      </c>
    </row>
    <row r="93">
      <c r="A93" s="3" t="n">
        <v>45957</v>
      </c>
      <c r="B93" t="n">
        <v>439.9800109863281</v>
      </c>
      <c r="C93" t="n">
        <v>460.1600036621094</v>
      </c>
      <c r="D93" t="n">
        <v>438.6900024414062</v>
      </c>
      <c r="E93" t="n">
        <v>452.4200134277344</v>
      </c>
      <c r="F93" t="n">
        <v>105867500</v>
      </c>
      <c r="G93" t="n">
        <v>0</v>
      </c>
      <c r="H93" t="n">
        <v>0</v>
      </c>
    </row>
    <row r="94">
      <c r="A94" s="3" t="n">
        <v>45958</v>
      </c>
      <c r="B94" t="n">
        <v>454.7799987792969</v>
      </c>
      <c r="C94" t="n">
        <v>467</v>
      </c>
      <c r="D94" t="n">
        <v>451.6000061035156</v>
      </c>
      <c r="E94" t="n">
        <v>460.5499877929688</v>
      </c>
      <c r="F94" t="n">
        <v>80185700</v>
      </c>
      <c r="G94" t="n">
        <v>0</v>
      </c>
      <c r="H94" t="n">
        <v>0</v>
      </c>
    </row>
    <row r="95">
      <c r="A95" s="3" t="n">
        <v>45959</v>
      </c>
      <c r="B95" t="n">
        <v>462.5</v>
      </c>
      <c r="C95" t="n">
        <v>465.7000122070312</v>
      </c>
      <c r="D95" t="n">
        <v>452.6499938964844</v>
      </c>
      <c r="E95" t="n">
        <v>461.510009765625</v>
      </c>
      <c r="F95" t="n">
        <v>67983500</v>
      </c>
      <c r="G95" t="n">
        <v>0</v>
      </c>
      <c r="H95" t="n">
        <v>0</v>
      </c>
    </row>
    <row r="96">
      <c r="A96" s="3" t="n">
        <v>45960</v>
      </c>
      <c r="B96" t="n">
        <v>451.0499877929688</v>
      </c>
      <c r="C96" t="n">
        <v>455.0599975585938</v>
      </c>
      <c r="D96" t="n">
        <v>439.6099853515625</v>
      </c>
      <c r="E96" t="n">
        <v>440.1000061035156</v>
      </c>
      <c r="F96" t="n">
        <v>72447900</v>
      </c>
      <c r="G96" t="n">
        <v>0</v>
      </c>
      <c r="H96" t="n">
        <v>0</v>
      </c>
    </row>
    <row r="97">
      <c r="A97" s="3" t="n">
        <v>45961</v>
      </c>
      <c r="B97" t="n">
        <v>446.75</v>
      </c>
      <c r="C97" t="n">
        <v>458</v>
      </c>
      <c r="D97" t="n">
        <v>443.6900024414062</v>
      </c>
      <c r="E97" t="n">
        <v>456.5599975585938</v>
      </c>
      <c r="F97" t="n">
        <v>83135800</v>
      </c>
      <c r="G97" t="n">
        <v>0</v>
      </c>
      <c r="H97" t="n">
        <v>0</v>
      </c>
    </row>
    <row r="98">
      <c r="A98" s="3" t="n">
        <v>45964</v>
      </c>
      <c r="B98" t="n">
        <v>455.989990234375</v>
      </c>
      <c r="C98" t="n">
        <v>474.0700073242188</v>
      </c>
      <c r="D98" t="n">
        <v>453.7999877929688</v>
      </c>
      <c r="E98" t="n">
        <v>468.3699951171875</v>
      </c>
      <c r="F98" t="n">
        <v>84595200</v>
      </c>
      <c r="G98" t="n">
        <v>0</v>
      </c>
      <c r="H98" t="n">
        <v>0</v>
      </c>
    </row>
    <row r="99">
      <c r="A99" s="3" t="n">
        <v>45965</v>
      </c>
      <c r="B99" t="n">
        <v>454.4599914550781</v>
      </c>
      <c r="C99" t="n">
        <v>460.2200012207031</v>
      </c>
      <c r="D99" t="n">
        <v>443.6000061035156</v>
      </c>
      <c r="E99" t="n">
        <v>444.260009765625</v>
      </c>
      <c r="F99" t="n">
        <v>87756600</v>
      </c>
      <c r="G99" t="n">
        <v>0</v>
      </c>
      <c r="H99" t="n">
        <v>0</v>
      </c>
    </row>
    <row r="100">
      <c r="A100" s="3" t="n">
        <v>45966</v>
      </c>
      <c r="B100" t="n">
        <v>452.0499877929688</v>
      </c>
      <c r="C100" t="n">
        <v>466.3299865722656</v>
      </c>
      <c r="D100" t="n">
        <v>440.7099914550781</v>
      </c>
      <c r="E100" t="n">
        <v>462.0700073242188</v>
      </c>
      <c r="F100" t="n">
        <v>85573000</v>
      </c>
      <c r="G100" t="n">
        <v>0</v>
      </c>
      <c r="H100" t="n">
        <v>0</v>
      </c>
    </row>
    <row r="101">
      <c r="A101" s="3" t="n">
        <v>45967</v>
      </c>
      <c r="B101" t="n">
        <v>461.9599914550781</v>
      </c>
      <c r="C101" t="n">
        <v>467.4500122070312</v>
      </c>
      <c r="D101" t="n">
        <v>435.0899963378906</v>
      </c>
      <c r="E101" t="n">
        <v>445.9100036621094</v>
      </c>
      <c r="F101" t="n">
        <v>109622900</v>
      </c>
      <c r="G101" t="n">
        <v>0</v>
      </c>
      <c r="H101" t="n">
        <v>0</v>
      </c>
    </row>
    <row r="102">
      <c r="A102" s="3" t="n">
        <v>45968</v>
      </c>
      <c r="B102" t="n">
        <v>437.9200134277344</v>
      </c>
      <c r="C102" t="n">
        <v>439.3599853515625</v>
      </c>
      <c r="D102" t="n">
        <v>421.8800048828125</v>
      </c>
      <c r="E102" t="n">
        <v>429.5199890136719</v>
      </c>
      <c r="F102" t="n">
        <v>103471500</v>
      </c>
      <c r="G102" t="n">
        <v>0</v>
      </c>
      <c r="H102" t="n">
        <v>0</v>
      </c>
    </row>
    <row r="103">
      <c r="A103" s="3" t="n">
        <v>45971</v>
      </c>
      <c r="B103" t="n">
        <v>439.6000061035156</v>
      </c>
      <c r="C103" t="n">
        <v>449.6700134277344</v>
      </c>
      <c r="D103" t="n">
        <v>433.3599853515625</v>
      </c>
      <c r="E103" t="n">
        <v>445.2300109863281</v>
      </c>
      <c r="F103" t="n">
        <v>76515900</v>
      </c>
      <c r="G103" t="n">
        <v>0</v>
      </c>
      <c r="H103" t="n">
        <v>0</v>
      </c>
    </row>
    <row r="104">
      <c r="A104" s="3" t="n">
        <v>45972</v>
      </c>
      <c r="B104" t="n">
        <v>439.3999938964844</v>
      </c>
      <c r="C104" t="n">
        <v>442.489990234375</v>
      </c>
      <c r="D104" t="n">
        <v>432.3599853515625</v>
      </c>
      <c r="E104" t="n">
        <v>439.6199951171875</v>
      </c>
      <c r="F104" t="n">
        <v>60533200</v>
      </c>
      <c r="G104" t="n">
        <v>0</v>
      </c>
      <c r="H104" t="n">
        <v>0</v>
      </c>
    </row>
    <row r="105">
      <c r="A105" s="3" t="n">
        <v>45973</v>
      </c>
      <c r="B105" t="n">
        <v>442.1499938964844</v>
      </c>
      <c r="C105" t="n">
        <v>442.3299865722656</v>
      </c>
      <c r="D105" t="n">
        <v>426.5599975585938</v>
      </c>
      <c r="E105" t="n">
        <v>430.6000061035156</v>
      </c>
      <c r="F105" t="n">
        <v>58513500</v>
      </c>
      <c r="G105" t="n">
        <v>0</v>
      </c>
      <c r="H105" t="n">
        <v>0</v>
      </c>
    </row>
    <row r="106">
      <c r="A106" s="3" t="n">
        <v>45974</v>
      </c>
      <c r="B106" t="n">
        <v>423.1300048828125</v>
      </c>
      <c r="C106" t="n">
        <v>424.5</v>
      </c>
      <c r="D106" t="n">
        <v>396.3399963378906</v>
      </c>
      <c r="E106" t="n">
        <v>401.989990234375</v>
      </c>
      <c r="F106" t="n">
        <v>118948000</v>
      </c>
      <c r="G106" t="n">
        <v>0</v>
      </c>
      <c r="H106" t="n">
        <v>0</v>
      </c>
    </row>
    <row r="107">
      <c r="A107" s="3" t="n">
        <v>45975</v>
      </c>
      <c r="B107" t="n">
        <v>386.2999877929688</v>
      </c>
      <c r="C107" t="n">
        <v>412.1900024414062</v>
      </c>
      <c r="D107" t="n">
        <v>382.7799987792969</v>
      </c>
      <c r="E107" t="n">
        <v>404.3500061035156</v>
      </c>
      <c r="F107" t="n">
        <v>105506700</v>
      </c>
      <c r="G107" t="n">
        <v>0</v>
      </c>
      <c r="H107" t="n">
        <v>0</v>
      </c>
    </row>
    <row r="108">
      <c r="A108" s="3" t="n">
        <v>45978</v>
      </c>
      <c r="B108" t="n">
        <v>398.739990234375</v>
      </c>
      <c r="C108" t="n">
        <v>423.9599914550781</v>
      </c>
      <c r="D108" t="n">
        <v>398.739990234375</v>
      </c>
      <c r="E108" t="n">
        <v>408.9200134277344</v>
      </c>
      <c r="F108" t="n">
        <v>102214300</v>
      </c>
      <c r="G108" t="n">
        <v>0</v>
      </c>
      <c r="H108" t="n">
        <v>0</v>
      </c>
    </row>
    <row r="109">
      <c r="A109" s="3" t="n">
        <v>45979</v>
      </c>
      <c r="B109" t="n">
        <v>405.3800048828125</v>
      </c>
      <c r="C109" t="n">
        <v>408.8999938964844</v>
      </c>
      <c r="D109" t="n">
        <v>393.7099914550781</v>
      </c>
      <c r="E109" t="n">
        <v>401.25</v>
      </c>
      <c r="F109" t="n">
        <v>80688600</v>
      </c>
      <c r="G109" t="n">
        <v>0</v>
      </c>
      <c r="H109" t="n">
        <v>0</v>
      </c>
    </row>
    <row r="110">
      <c r="A110" s="3" t="n">
        <v>45980</v>
      </c>
      <c r="B110" t="n">
        <v>406.1799926757812</v>
      </c>
      <c r="C110" t="n">
        <v>411.7799987792969</v>
      </c>
      <c r="D110" t="n">
        <v>398.5</v>
      </c>
      <c r="E110" t="n">
        <v>403.989990234375</v>
      </c>
      <c r="F110" t="n">
        <v>72047700</v>
      </c>
      <c r="G110" t="n">
        <v>0</v>
      </c>
      <c r="H110" t="n">
        <v>0</v>
      </c>
    </row>
    <row r="111">
      <c r="A111" s="3" t="n">
        <v>45981</v>
      </c>
      <c r="B111" t="n">
        <v>414.6300048828125</v>
      </c>
      <c r="C111" t="n">
        <v>428.9400024414062</v>
      </c>
      <c r="D111" t="n">
        <v>394.739990234375</v>
      </c>
      <c r="E111" t="n">
        <v>395.2300109863281</v>
      </c>
      <c r="F111" t="n">
        <v>113548800</v>
      </c>
      <c r="G111" t="n">
        <v>0</v>
      </c>
      <c r="H111" t="n">
        <v>0</v>
      </c>
    </row>
    <row r="112">
      <c r="A112" s="3" t="n">
        <v>45982</v>
      </c>
      <c r="B112" t="n">
        <v>402.3200073242188</v>
      </c>
      <c r="C112" t="n">
        <v>402.7999877929688</v>
      </c>
      <c r="D112" t="n">
        <v>383.760009765625</v>
      </c>
      <c r="E112" t="n">
        <v>391.0899963378906</v>
      </c>
      <c r="F112" t="n">
        <v>100460600</v>
      </c>
      <c r="G112" t="n">
        <v>0</v>
      </c>
      <c r="H112" t="n">
        <v>0</v>
      </c>
    </row>
    <row r="113">
      <c r="A113" s="3" t="n">
        <v>45985</v>
      </c>
      <c r="B113" t="n">
        <v>402.1700134277344</v>
      </c>
      <c r="C113" t="n">
        <v>421.7200012207031</v>
      </c>
      <c r="D113" t="n">
        <v>401.0899963378906</v>
      </c>
      <c r="E113" t="n">
        <v>417.7799987792969</v>
      </c>
      <c r="F113" t="n">
        <v>96806400</v>
      </c>
      <c r="G113" t="n">
        <v>0</v>
      </c>
      <c r="H113" t="n">
        <v>0</v>
      </c>
    </row>
    <row r="114">
      <c r="A114" s="3" t="n">
        <v>45986</v>
      </c>
      <c r="B114" t="n">
        <v>414.4200134277344</v>
      </c>
      <c r="C114" t="n">
        <v>420.4800109863281</v>
      </c>
      <c r="D114" t="n">
        <v>405.9500122070312</v>
      </c>
      <c r="E114" t="n">
        <v>419.3999938964844</v>
      </c>
      <c r="F114" t="n">
        <v>71915600</v>
      </c>
      <c r="G114" t="n">
        <v>0</v>
      </c>
      <c r="H114" t="n">
        <v>0</v>
      </c>
    </row>
    <row r="115">
      <c r="A115" s="3" t="n">
        <v>45987</v>
      </c>
      <c r="B115" t="n">
        <v>423.9500122070312</v>
      </c>
      <c r="C115" t="n">
        <v>426.9400024414062</v>
      </c>
      <c r="D115" t="n">
        <v>416.8900146484375</v>
      </c>
      <c r="E115" t="n">
        <v>426.5799865722656</v>
      </c>
      <c r="F115" t="n">
        <v>63463000</v>
      </c>
      <c r="G115" t="n">
        <v>0</v>
      </c>
      <c r="H115" t="n">
        <v>0</v>
      </c>
    </row>
    <row r="116">
      <c r="A116" s="3" t="n">
        <v>45989</v>
      </c>
      <c r="B116" t="n">
        <v>426.5899963378906</v>
      </c>
      <c r="C116" t="n">
        <v>432.9299926757812</v>
      </c>
      <c r="D116" t="n">
        <v>426.2000122070312</v>
      </c>
      <c r="E116" t="n">
        <v>430.1700134277344</v>
      </c>
      <c r="F116" t="n">
        <v>36252900</v>
      </c>
      <c r="G116" t="n">
        <v>0</v>
      </c>
      <c r="H116" t="n">
        <v>0</v>
      </c>
    </row>
    <row r="117">
      <c r="A117" s="3" t="n">
        <v>45992</v>
      </c>
      <c r="B117" t="n">
        <v>425.3200073242188</v>
      </c>
      <c r="C117" t="n">
        <v>433.6600036621094</v>
      </c>
      <c r="D117" t="n">
        <v>425.2900085449219</v>
      </c>
      <c r="E117" t="n">
        <v>430.1400146484375</v>
      </c>
      <c r="F117" t="n">
        <v>57463600</v>
      </c>
      <c r="G117" t="n">
        <v>0</v>
      </c>
      <c r="H117" t="n">
        <v>0</v>
      </c>
    </row>
    <row r="118">
      <c r="A118" s="3" t="n">
        <v>45993</v>
      </c>
      <c r="B118" t="n">
        <v>430.8099975585938</v>
      </c>
      <c r="C118" t="n">
        <v>436.7999877929688</v>
      </c>
      <c r="D118" t="n">
        <v>422.1199951171875</v>
      </c>
      <c r="E118" t="n">
        <v>429.239990234375</v>
      </c>
      <c r="F118" t="n">
        <v>69336600</v>
      </c>
      <c r="G118" t="n">
        <v>0</v>
      </c>
      <c r="H118" t="n">
        <v>0</v>
      </c>
    </row>
    <row r="119">
      <c r="A119" s="3" t="n">
        <v>45994</v>
      </c>
      <c r="B119" t="n">
        <v>432.1000061035156</v>
      </c>
      <c r="C119" t="n">
        <v>447.9200134277344</v>
      </c>
      <c r="D119" t="n">
        <v>431.1099853515625</v>
      </c>
      <c r="E119" t="n">
        <v>446.739990234375</v>
      </c>
      <c r="F119" t="n">
        <v>87483000</v>
      </c>
      <c r="G119" t="n">
        <v>0</v>
      </c>
      <c r="H119" t="n">
        <v>0</v>
      </c>
    </row>
    <row r="120">
      <c r="A120" s="3" t="n">
        <v>45995</v>
      </c>
      <c r="B120" t="n">
        <v>449.9400024414062</v>
      </c>
      <c r="C120" t="n">
        <v>454.6300048828125</v>
      </c>
      <c r="D120" t="n">
        <v>445.3900146484375</v>
      </c>
      <c r="E120" t="n">
        <v>454.5299987792969</v>
      </c>
      <c r="F120" t="n">
        <v>71906500</v>
      </c>
      <c r="G120" t="n">
        <v>0</v>
      </c>
      <c r="H120" t="n">
        <v>0</v>
      </c>
    </row>
    <row r="121">
      <c r="A121" s="3" t="n">
        <v>45996</v>
      </c>
      <c r="B121" t="n">
        <v>453.0299987792969</v>
      </c>
      <c r="C121" t="n">
        <v>458.8699951171875</v>
      </c>
      <c r="D121" t="n">
        <v>451.6600036621094</v>
      </c>
      <c r="E121" t="n">
        <v>455</v>
      </c>
      <c r="F121" t="n">
        <v>56427500</v>
      </c>
      <c r="G121" t="n">
        <v>0</v>
      </c>
      <c r="H121" t="n">
        <v>0</v>
      </c>
    </row>
    <row r="122">
      <c r="A122" s="3" t="n">
        <v>45999</v>
      </c>
      <c r="B122" t="n">
        <v>447.4500122070312</v>
      </c>
      <c r="C122" t="n">
        <v>449.75</v>
      </c>
      <c r="D122" t="n">
        <v>435.25</v>
      </c>
      <c r="E122" t="n">
        <v>439.5799865722656</v>
      </c>
      <c r="F122" t="n">
        <v>69165800</v>
      </c>
      <c r="G122" t="n">
        <v>0</v>
      </c>
      <c r="H122" t="n">
        <v>0</v>
      </c>
    </row>
    <row r="123">
      <c r="A123" s="3" t="n">
        <v>46000</v>
      </c>
      <c r="B123" t="n">
        <v>437.5400085449219</v>
      </c>
      <c r="C123" t="n">
        <v>452.3900146484375</v>
      </c>
      <c r="D123" t="n">
        <v>435.7000122070312</v>
      </c>
      <c r="E123" t="n">
        <v>445.1700134277344</v>
      </c>
      <c r="F123" t="n">
        <v>62367400</v>
      </c>
      <c r="G123" t="n">
        <v>0</v>
      </c>
      <c r="H123" t="n">
        <v>0</v>
      </c>
    </row>
    <row r="124">
      <c r="A124" s="3" t="n">
        <v>46001</v>
      </c>
      <c r="B124" t="n">
        <v>446.0700073242188</v>
      </c>
      <c r="C124" t="n">
        <v>456.8800048828125</v>
      </c>
      <c r="D124" t="n">
        <v>443.6099853515625</v>
      </c>
      <c r="E124" t="n">
        <v>451.4500122070312</v>
      </c>
      <c r="F124" t="n">
        <v>63257500</v>
      </c>
      <c r="G124" t="n">
        <v>0</v>
      </c>
      <c r="H124" t="n">
        <v>0</v>
      </c>
    </row>
    <row r="125">
      <c r="A125" s="3" t="n">
        <v>46002</v>
      </c>
      <c r="B125" t="n">
        <v>448.9500122070312</v>
      </c>
      <c r="C125" t="n">
        <v>449.2699890136719</v>
      </c>
      <c r="D125" t="n">
        <v>440.3299865722656</v>
      </c>
      <c r="E125" t="n">
        <v>446.8900146484375</v>
      </c>
      <c r="F125" t="n">
        <v>55979500</v>
      </c>
      <c r="G125" t="n">
        <v>0</v>
      </c>
      <c r="H125" t="n">
        <v>0</v>
      </c>
    </row>
    <row r="126">
      <c r="A126" s="3" t="n">
        <v>46003</v>
      </c>
      <c r="B126" t="n">
        <v>448.0899963378906</v>
      </c>
      <c r="C126" t="n">
        <v>463.010009765625</v>
      </c>
      <c r="D126" t="n">
        <v>441.6700134277344</v>
      </c>
      <c r="E126" t="n">
        <v>458.9599914550781</v>
      </c>
      <c r="F126" t="n">
        <v>95656700</v>
      </c>
      <c r="G126" t="n">
        <v>0</v>
      </c>
      <c r="H126" t="n">
        <v>0</v>
      </c>
    </row>
    <row r="127">
      <c r="A127" s="3" t="n">
        <v>46006</v>
      </c>
      <c r="B127" t="n">
        <v>469.4400024414062</v>
      </c>
      <c r="C127" t="n">
        <v>481.7699890136719</v>
      </c>
      <c r="D127" t="n">
        <v>467.6600036621094</v>
      </c>
      <c r="E127" t="n">
        <v>475.3099975585938</v>
      </c>
      <c r="F127" t="n">
        <v>114542200</v>
      </c>
      <c r="G127" t="n">
        <v>0</v>
      </c>
      <c r="H127" t="n">
        <v>0</v>
      </c>
    </row>
    <row r="128">
      <c r="A128" s="3" t="n">
        <v>46007</v>
      </c>
      <c r="B128" t="n">
        <v>472.2099914550781</v>
      </c>
      <c r="C128" t="n">
        <v>491.5</v>
      </c>
      <c r="D128" t="n">
        <v>465.8299865722656</v>
      </c>
      <c r="E128" t="n">
        <v>489.8800048828125</v>
      </c>
      <c r="F128" t="n">
        <v>107608100</v>
      </c>
      <c r="G128" t="n">
        <v>0</v>
      </c>
      <c r="H128" t="n">
        <v>0</v>
      </c>
    </row>
    <row r="129">
      <c r="A129" s="3" t="n">
        <v>46008</v>
      </c>
      <c r="B129" t="n">
        <v>488.2200012207031</v>
      </c>
      <c r="C129" t="n">
        <v>495.2799987792969</v>
      </c>
      <c r="D129" t="n">
        <v>466.2000122070312</v>
      </c>
      <c r="E129" t="n">
        <v>467.260009765625</v>
      </c>
      <c r="F129" t="n">
        <v>106490400</v>
      </c>
      <c r="G129" t="n">
        <v>0</v>
      </c>
      <c r="H129" t="n">
        <v>0</v>
      </c>
    </row>
    <row r="130">
      <c r="A130" s="3" t="n">
        <v>46009</v>
      </c>
      <c r="B130" t="n">
        <v>478.1600036621094</v>
      </c>
      <c r="C130" t="n">
        <v>490.8599853515625</v>
      </c>
      <c r="D130" t="n">
        <v>473.1199951171875</v>
      </c>
      <c r="E130" t="n">
        <v>483.3699951171875</v>
      </c>
      <c r="F130" t="n">
        <v>95168400</v>
      </c>
      <c r="G130" t="n">
        <v>0</v>
      </c>
      <c r="H130" t="n">
        <v>0</v>
      </c>
    </row>
    <row r="131">
      <c r="A131" s="3" t="n">
        <v>46010</v>
      </c>
      <c r="B131" t="n">
        <v>488.1199951171875</v>
      </c>
      <c r="C131" t="n">
        <v>490.489990234375</v>
      </c>
      <c r="D131" t="n">
        <v>474.7200012207031</v>
      </c>
      <c r="E131" t="n">
        <v>481.2000122070312</v>
      </c>
      <c r="F131" t="n">
        <v>103305400</v>
      </c>
      <c r="G131" t="n">
        <v>0</v>
      </c>
      <c r="H131" t="n">
        <v>0</v>
      </c>
    </row>
    <row r="132">
      <c r="A132" s="3" t="n">
        <v>46013</v>
      </c>
      <c r="B132" t="n">
        <v>489.8800048828125</v>
      </c>
      <c r="C132" t="n">
        <v>498.8299865722656</v>
      </c>
      <c r="D132" t="n">
        <v>485.3299865722656</v>
      </c>
      <c r="E132" t="n">
        <v>488.7300109863281</v>
      </c>
      <c r="F132" t="n">
        <v>86916100</v>
      </c>
      <c r="G132" t="n">
        <v>0</v>
      </c>
      <c r="H132" t="n">
        <v>0</v>
      </c>
    </row>
    <row r="133">
      <c r="A133" s="3" t="n">
        <v>46014</v>
      </c>
      <c r="B133" t="n">
        <v>489.3999938964844</v>
      </c>
      <c r="C133" t="n">
        <v>491.9700012207031</v>
      </c>
      <c r="D133" t="n">
        <v>482.8399963378906</v>
      </c>
      <c r="E133" t="n">
        <v>485.5599975585938</v>
      </c>
      <c r="F133" t="n">
        <v>58223600</v>
      </c>
      <c r="G133" t="n">
        <v>0</v>
      </c>
      <c r="H133" t="n">
        <v>0</v>
      </c>
    </row>
    <row r="134">
      <c r="A134" s="3" t="n">
        <v>46015</v>
      </c>
      <c r="B134" t="n">
        <v>488.4800109863281</v>
      </c>
      <c r="C134" t="n">
        <v>490.8999938964844</v>
      </c>
      <c r="D134" t="n">
        <v>476.7999877929688</v>
      </c>
      <c r="E134" t="n">
        <v>485.3999938964844</v>
      </c>
      <c r="F134" t="n">
        <v>41285400</v>
      </c>
      <c r="G134" t="n">
        <v>0</v>
      </c>
      <c r="H134" t="n">
        <v>0</v>
      </c>
    </row>
    <row r="135">
      <c r="A135" s="3" t="n">
        <v>46017</v>
      </c>
      <c r="B135" t="n">
        <v>485.2300109863281</v>
      </c>
      <c r="C135" t="n">
        <v>489.0899963378906</v>
      </c>
      <c r="D135" t="n">
        <v>473.8200073242188</v>
      </c>
      <c r="E135" t="n">
        <v>475.1900024414062</v>
      </c>
      <c r="F135" t="n">
        <v>58780700</v>
      </c>
      <c r="G135" t="n">
        <v>0</v>
      </c>
      <c r="H135" t="n">
        <v>0</v>
      </c>
    </row>
    <row r="136">
      <c r="A136" s="3" t="n">
        <v>46020</v>
      </c>
      <c r="B136" t="n">
        <v>469</v>
      </c>
      <c r="C136" t="n">
        <v>469.3999938964844</v>
      </c>
      <c r="D136" t="n">
        <v>459</v>
      </c>
      <c r="E136" t="n">
        <v>459.6400146484375</v>
      </c>
      <c r="F136" t="n">
        <v>66263000</v>
      </c>
      <c r="G136" t="n">
        <v>0</v>
      </c>
      <c r="H136" t="n">
        <v>0</v>
      </c>
    </row>
    <row r="137">
      <c r="A137" s="3" t="n">
        <v>46021</v>
      </c>
      <c r="B137" t="n">
        <v>461.0899963378906</v>
      </c>
      <c r="C137" t="n">
        <v>463.1199951171875</v>
      </c>
      <c r="D137" t="n">
        <v>453.8299865722656</v>
      </c>
      <c r="E137" t="n">
        <v>454.4299926757812</v>
      </c>
      <c r="F137" t="n">
        <v>59238500</v>
      </c>
      <c r="G137" t="n">
        <v>0</v>
      </c>
      <c r="H137" t="n">
        <v>0</v>
      </c>
    </row>
    <row r="138">
      <c r="A138" s="3" t="n">
        <v>46022</v>
      </c>
      <c r="B138" t="n">
        <v>456.1000061035156</v>
      </c>
      <c r="C138" t="n">
        <v>456.5499877929688</v>
      </c>
      <c r="D138" t="n">
        <v>449.2999877929688</v>
      </c>
      <c r="E138" t="n">
        <v>449.7200012207031</v>
      </c>
      <c r="F138" t="n">
        <v>49078000</v>
      </c>
      <c r="G138" t="n">
        <v>0</v>
      </c>
      <c r="H138" t="n">
        <v>0</v>
      </c>
    </row>
    <row r="139">
      <c r="A139" s="3" t="n">
        <v>46024</v>
      </c>
      <c r="B139" t="n">
        <v>457.7999877929688</v>
      </c>
      <c r="C139" t="n">
        <v>458.3399963378906</v>
      </c>
      <c r="D139" t="n">
        <v>435.2999877929688</v>
      </c>
      <c r="E139" t="n">
        <v>438.0700073242188</v>
      </c>
      <c r="F139" t="n">
        <v>85535400</v>
      </c>
      <c r="G139" t="n">
        <v>0</v>
      </c>
      <c r="H139" t="n">
        <v>0</v>
      </c>
    </row>
    <row r="140">
      <c r="A140" s="3" t="n">
        <v>46027</v>
      </c>
      <c r="B140" t="n">
        <v>447.989990234375</v>
      </c>
      <c r="C140" t="n">
        <v>457.5499877929688</v>
      </c>
      <c r="D140" t="n">
        <v>444.5700073242188</v>
      </c>
      <c r="E140" t="n">
        <v>451.6700134277344</v>
      </c>
      <c r="F140" t="n">
        <v>67940800</v>
      </c>
      <c r="G140" t="n">
        <v>0</v>
      </c>
      <c r="H140" t="n">
        <v>0</v>
      </c>
    </row>
    <row r="141">
      <c r="A141" s="3" t="n">
        <v>46028</v>
      </c>
      <c r="B141" t="n">
        <v>446.3800048828125</v>
      </c>
      <c r="C141" t="n">
        <v>448.25</v>
      </c>
      <c r="D141" t="n">
        <v>428.7799987792969</v>
      </c>
      <c r="E141" t="n">
        <v>432.9599914550781</v>
      </c>
      <c r="F141" t="n">
        <v>89093800</v>
      </c>
      <c r="G141" t="n">
        <v>0</v>
      </c>
      <c r="H141" t="n">
        <v>0</v>
      </c>
    </row>
    <row r="142">
      <c r="A142" s="3" t="n">
        <v>46029</v>
      </c>
      <c r="B142" t="n">
        <v>435.8999938964844</v>
      </c>
      <c r="C142" t="n">
        <v>438.3699951171875</v>
      </c>
      <c r="D142" t="n">
        <v>431.2900085449219</v>
      </c>
      <c r="E142" t="n">
        <v>431.4100036621094</v>
      </c>
      <c r="F142" t="n">
        <v>59828800</v>
      </c>
      <c r="G142" t="n">
        <v>0</v>
      </c>
      <c r="H142" t="n">
        <v>0</v>
      </c>
    </row>
    <row r="143">
      <c r="A143" s="3" t="n">
        <v>46030</v>
      </c>
      <c r="B143" t="n">
        <v>427.8900146484375</v>
      </c>
      <c r="C143" t="n">
        <v>436.8900146484375</v>
      </c>
      <c r="D143" t="n">
        <v>424.3699951171875</v>
      </c>
      <c r="E143" t="n">
        <v>435.7999877929688</v>
      </c>
      <c r="F143" t="n">
        <v>57041100</v>
      </c>
      <c r="G143" t="n">
        <v>0</v>
      </c>
      <c r="H143" t="n">
        <v>0</v>
      </c>
    </row>
    <row r="144">
      <c r="A144" s="3" t="n">
        <v>46031</v>
      </c>
      <c r="B144" t="n">
        <v>435.9500122070312</v>
      </c>
      <c r="C144" t="n">
        <v>449.0499877929688</v>
      </c>
      <c r="D144" t="n">
        <v>430.3900146484375</v>
      </c>
      <c r="E144" t="n">
        <v>445.010009765625</v>
      </c>
      <c r="F144" t="n">
        <v>67331500</v>
      </c>
      <c r="G144" t="n">
        <v>0</v>
      </c>
      <c r="H144" t="n">
        <v>0</v>
      </c>
    </row>
    <row r="145">
      <c r="A145" s="3" t="n">
        <v>46034</v>
      </c>
      <c r="B145" t="n">
        <v>441.2300109863281</v>
      </c>
      <c r="C145" t="n">
        <v>454.2999877929688</v>
      </c>
      <c r="D145" t="n">
        <v>438</v>
      </c>
      <c r="E145" t="n">
        <v>448.9599914550781</v>
      </c>
      <c r="F145" t="n">
        <v>61649600</v>
      </c>
      <c r="G145" t="n">
        <v>0</v>
      </c>
      <c r="H145" t="n">
        <v>0</v>
      </c>
    </row>
    <row r="146">
      <c r="A146" s="3" t="n">
        <v>46035</v>
      </c>
      <c r="B146" t="n">
        <v>450.2000122070312</v>
      </c>
      <c r="C146" t="n">
        <v>451.8099975585938</v>
      </c>
      <c r="D146" t="n">
        <v>443.9500122070312</v>
      </c>
      <c r="E146" t="n">
        <v>447.2000122070312</v>
      </c>
      <c r="F146" t="n">
        <v>53719200</v>
      </c>
      <c r="G146" t="n">
        <v>0</v>
      </c>
      <c r="H146" t="n">
        <v>0</v>
      </c>
    </row>
    <row r="147">
      <c r="A147" s="3" t="n">
        <v>46036</v>
      </c>
      <c r="B147" t="n">
        <v>442.8099975585938</v>
      </c>
      <c r="C147" t="n">
        <v>443.9100036621094</v>
      </c>
      <c r="D147" t="n">
        <v>434.2200012207031</v>
      </c>
      <c r="E147" t="n">
        <v>439.2000122070312</v>
      </c>
      <c r="F147" t="n">
        <v>57259500</v>
      </c>
      <c r="G147" t="n">
        <v>0</v>
      </c>
      <c r="H147" t="n">
        <v>0</v>
      </c>
    </row>
    <row r="148">
      <c r="A148" s="3" t="n">
        <v>46037</v>
      </c>
      <c r="B148" t="n">
        <v>441.1300048828125</v>
      </c>
      <c r="C148" t="n">
        <v>445.3599853515625</v>
      </c>
      <c r="D148" t="n">
        <v>437.6499938964844</v>
      </c>
      <c r="E148" t="n">
        <v>438.5700073242188</v>
      </c>
      <c r="F148" t="n">
        <v>49465800</v>
      </c>
      <c r="G148" t="n">
        <v>0</v>
      </c>
      <c r="H148" t="n">
        <v>0</v>
      </c>
    </row>
    <row r="149">
      <c r="A149" s="3" t="n">
        <v>46038</v>
      </c>
      <c r="B149" t="n">
        <v>439.5</v>
      </c>
      <c r="C149" t="n">
        <v>447.25</v>
      </c>
      <c r="D149" t="n">
        <v>435.260009765625</v>
      </c>
      <c r="E149" t="n">
        <v>437.5</v>
      </c>
      <c r="F149" t="n">
        <v>60220600</v>
      </c>
      <c r="G149" t="n">
        <v>0</v>
      </c>
      <c r="H149" t="n">
        <v>0</v>
      </c>
    </row>
    <row r="150">
      <c r="A150" s="3" t="n">
        <v>46042</v>
      </c>
      <c r="B150" t="n">
        <v>429.3599853515625</v>
      </c>
      <c r="C150" t="n">
        <v>430.7300109863281</v>
      </c>
      <c r="D150" t="n">
        <v>417.4400024414062</v>
      </c>
      <c r="E150" t="n">
        <v>419.25</v>
      </c>
      <c r="F150" t="n">
        <v>63187300</v>
      </c>
      <c r="G150" t="n">
        <v>0</v>
      </c>
      <c r="H150" t="n">
        <v>0</v>
      </c>
    </row>
    <row r="151">
      <c r="A151" s="3" t="n">
        <v>46043</v>
      </c>
      <c r="B151" t="n">
        <v>421.6600036621094</v>
      </c>
      <c r="C151" t="n">
        <v>438.2000122070312</v>
      </c>
      <c r="D151" t="n">
        <v>419.6199951171875</v>
      </c>
      <c r="E151" t="n">
        <v>431.4400024414062</v>
      </c>
      <c r="F151" t="n">
        <v>68124000</v>
      </c>
      <c r="G151" t="n">
        <v>0</v>
      </c>
      <c r="H151" t="n">
        <v>0</v>
      </c>
    </row>
    <row r="152">
      <c r="A152" s="3" t="n">
        <v>46044</v>
      </c>
      <c r="B152" t="n">
        <v>435.1600036621094</v>
      </c>
      <c r="C152" t="n">
        <v>449.5</v>
      </c>
      <c r="D152" t="n">
        <v>432.6300048828125</v>
      </c>
      <c r="E152" t="n">
        <v>449.3599853515625</v>
      </c>
      <c r="F152" t="n">
        <v>71546700</v>
      </c>
      <c r="G152" t="n">
        <v>0</v>
      </c>
      <c r="H152" t="n">
        <v>0</v>
      </c>
    </row>
    <row r="153">
      <c r="A153" s="3" t="n">
        <v>46045</v>
      </c>
      <c r="B153" t="n">
        <v>447.4299926757812</v>
      </c>
      <c r="C153" t="n">
        <v>452.4299926757812</v>
      </c>
      <c r="D153" t="n">
        <v>444.0400085449219</v>
      </c>
      <c r="E153" t="n">
        <v>449.0599975585938</v>
      </c>
      <c r="F153" t="n">
        <v>56771400</v>
      </c>
      <c r="G153" t="n">
        <v>0</v>
      </c>
      <c r="H153" t="n">
        <v>0</v>
      </c>
    </row>
    <row r="154">
      <c r="A154" s="3" t="n">
        <v>46048</v>
      </c>
      <c r="B154" t="n">
        <v>445</v>
      </c>
      <c r="C154" t="n">
        <v>445.0400085449219</v>
      </c>
      <c r="D154" t="n">
        <v>434.2799987792969</v>
      </c>
      <c r="E154" t="n">
        <v>435.2000122070312</v>
      </c>
      <c r="F154" t="n">
        <v>49397400</v>
      </c>
      <c r="G154" t="n">
        <v>0</v>
      </c>
      <c r="H154" t="n">
        <v>0</v>
      </c>
    </row>
    <row r="155">
      <c r="A155" s="3" t="n">
        <v>46049</v>
      </c>
      <c r="B155" t="n">
        <v>437.4100036621094</v>
      </c>
      <c r="C155" t="n">
        <v>437.5199890136719</v>
      </c>
      <c r="D155" t="n">
        <v>430.6900024414062</v>
      </c>
      <c r="E155" t="n">
        <v>430.8999938964844</v>
      </c>
      <c r="F155" t="n">
        <v>37733100</v>
      </c>
      <c r="G155" t="n">
        <v>0</v>
      </c>
      <c r="H155" t="n">
        <v>0</v>
      </c>
    </row>
    <row r="156">
      <c r="A156" s="3" t="n">
        <v>46050</v>
      </c>
      <c r="B156" t="n">
        <v>431.9100036621094</v>
      </c>
      <c r="C156" t="n">
        <v>438.260009765625</v>
      </c>
      <c r="D156" t="n">
        <v>430.1000061035156</v>
      </c>
      <c r="E156" t="n">
        <v>431.4599914550781</v>
      </c>
      <c r="F156" t="n">
        <v>54857400</v>
      </c>
      <c r="G156" t="n">
        <v>0</v>
      </c>
      <c r="H156" t="n">
        <v>0</v>
      </c>
    </row>
    <row r="157">
      <c r="A157" s="3" t="n">
        <v>46051</v>
      </c>
      <c r="B157" t="n">
        <v>437.7999877929688</v>
      </c>
      <c r="C157" t="n">
        <v>440.2300109863281</v>
      </c>
      <c r="D157" t="n">
        <v>414.6199951171875</v>
      </c>
      <c r="E157" t="n">
        <v>416.5599975585938</v>
      </c>
      <c r="F157" t="n">
        <v>81686100</v>
      </c>
      <c r="G157" t="n">
        <v>0</v>
      </c>
      <c r="H157" t="n">
        <v>0</v>
      </c>
    </row>
    <row r="158">
      <c r="A158" s="3" t="n">
        <v>46052</v>
      </c>
      <c r="B158" t="n">
        <v>425.3500061035156</v>
      </c>
      <c r="C158" t="n">
        <v>439.8800048828125</v>
      </c>
      <c r="D158" t="n">
        <v>422.7000122070312</v>
      </c>
      <c r="E158" t="n">
        <v>430.4100036621094</v>
      </c>
      <c r="F158" t="n">
        <v>82626100</v>
      </c>
      <c r="G158" t="n">
        <v>0</v>
      </c>
      <c r="H158" t="n">
        <v>0</v>
      </c>
    </row>
    <row r="159">
      <c r="A159" s="3" t="n">
        <v>46055</v>
      </c>
      <c r="B159" t="n">
        <v>421.2900085449219</v>
      </c>
      <c r="C159" t="n">
        <v>427.1499938964844</v>
      </c>
      <c r="D159" t="n">
        <v>414.5</v>
      </c>
      <c r="E159" t="n">
        <v>421.8099975585938</v>
      </c>
      <c r="F159" t="n">
        <v>58739500</v>
      </c>
      <c r="G159" t="n">
        <v>0</v>
      </c>
      <c r="H159" t="n">
        <v>0</v>
      </c>
    </row>
    <row r="160">
      <c r="A160" s="3" t="n">
        <v>46056</v>
      </c>
      <c r="B160" t="n">
        <v>424.2699890136719</v>
      </c>
      <c r="C160" t="n">
        <v>428.5599975585938</v>
      </c>
      <c r="D160" t="n">
        <v>413.6900024414062</v>
      </c>
      <c r="E160" t="n">
        <v>421.9599914550781</v>
      </c>
      <c r="F160" t="n">
        <v>56886500</v>
      </c>
      <c r="G160" t="n">
        <v>0</v>
      </c>
      <c r="H160" t="n">
        <v>0</v>
      </c>
    </row>
    <row r="161">
      <c r="A161" s="3" t="n">
        <v>46057</v>
      </c>
      <c r="B161" t="n">
        <v>420.4599914550781</v>
      </c>
      <c r="C161" t="n">
        <v>423.8999938964844</v>
      </c>
      <c r="D161" t="n">
        <v>399.1799926757812</v>
      </c>
      <c r="E161" t="n">
        <v>406.010009765625</v>
      </c>
      <c r="F161" t="n">
        <v>74606900</v>
      </c>
      <c r="G161" t="n">
        <v>0</v>
      </c>
      <c r="H161" t="n">
        <v>0</v>
      </c>
    </row>
    <row r="162">
      <c r="A162" s="3" t="n">
        <v>46058</v>
      </c>
      <c r="B162" t="n">
        <v>397.0199890136719</v>
      </c>
      <c r="C162" t="n">
        <v>402.1000061035156</v>
      </c>
      <c r="D162" t="n">
        <v>387.5299987792969</v>
      </c>
      <c r="E162" t="n">
        <v>397.2099914550781</v>
      </c>
      <c r="F162" t="n">
        <v>72819800</v>
      </c>
      <c r="G162" t="n">
        <v>0</v>
      </c>
      <c r="H162" t="n">
        <v>0</v>
      </c>
    </row>
    <row r="163">
      <c r="A163" s="3" t="n">
        <v>46059</v>
      </c>
      <c r="B163" t="n">
        <v>400.8699951171875</v>
      </c>
      <c r="C163" t="n">
        <v>414.5499877929688</v>
      </c>
      <c r="D163" t="n">
        <v>397.75</v>
      </c>
      <c r="E163" t="n">
        <v>411.1099853515625</v>
      </c>
      <c r="F163" t="n">
        <v>62677100</v>
      </c>
      <c r="G163" t="n">
        <v>0</v>
      </c>
      <c r="H163" t="n">
        <v>0</v>
      </c>
    </row>
    <row r="164">
      <c r="A164" s="3" t="n">
        <v>46062</v>
      </c>
      <c r="B164" t="n">
        <v>409.9100036621094</v>
      </c>
      <c r="C164" t="n">
        <v>421.25</v>
      </c>
      <c r="D164" t="n">
        <v>407.2900085449219</v>
      </c>
      <c r="E164" t="n">
        <v>417.3200073242188</v>
      </c>
      <c r="F164" t="n">
        <v>54484300</v>
      </c>
      <c r="G164" t="n">
        <v>0</v>
      </c>
      <c r="H164" t="n">
        <v>0</v>
      </c>
    </row>
    <row r="165">
      <c r="A165" s="3" t="n">
        <v>46063</v>
      </c>
      <c r="B165" t="n">
        <v>418.0799865722656</v>
      </c>
      <c r="C165" t="n">
        <v>427.25</v>
      </c>
      <c r="D165" t="n">
        <v>417</v>
      </c>
      <c r="E165" t="n">
        <v>425.2099914550781</v>
      </c>
      <c r="F165" t="n">
        <v>64450200</v>
      </c>
      <c r="G165" t="n">
        <v>0</v>
      </c>
      <c r="H165" t="n">
        <v>0</v>
      </c>
    </row>
    <row r="166">
      <c r="A166" s="3" t="n">
        <v>46064</v>
      </c>
      <c r="B166" t="n">
        <v>427.9599914550781</v>
      </c>
      <c r="C166" t="n">
        <v>436.3500061035156</v>
      </c>
      <c r="D166" t="n">
        <v>420.0299987792969</v>
      </c>
      <c r="E166" t="n">
        <v>428.2699890136719</v>
      </c>
      <c r="F166" t="n">
        <v>57362000</v>
      </c>
      <c r="G166" t="n">
        <v>0</v>
      </c>
      <c r="H166" t="n">
        <v>0</v>
      </c>
    </row>
    <row r="167">
      <c r="A167" s="3" t="n">
        <v>46065</v>
      </c>
      <c r="B167" t="n">
        <v>430.2999877929688</v>
      </c>
      <c r="C167" t="n">
        <v>436.2300109863281</v>
      </c>
      <c r="D167" t="n">
        <v>414</v>
      </c>
      <c r="E167" t="n">
        <v>417.0700073242188</v>
      </c>
      <c r="F167" t="n">
        <v>61933400</v>
      </c>
      <c r="G167" t="n">
        <v>0</v>
      </c>
      <c r="H167" t="n">
        <v>0</v>
      </c>
    </row>
    <row r="168">
      <c r="A168" s="3" t="n">
        <v>46066</v>
      </c>
      <c r="B168" t="n">
        <v>414.3099975585938</v>
      </c>
      <c r="C168" t="n">
        <v>424.0599975585938</v>
      </c>
      <c r="D168" t="n">
        <v>410.8800048828125</v>
      </c>
      <c r="E168" t="n">
        <v>417.4400024414062</v>
      </c>
      <c r="F168" t="n">
        <v>51434100</v>
      </c>
      <c r="G168" t="n">
        <v>0</v>
      </c>
      <c r="H168" t="n">
        <v>0</v>
      </c>
    </row>
    <row r="169">
      <c r="A169" s="3" t="n">
        <v>46070</v>
      </c>
      <c r="B169" t="n">
        <v>412.3599853515625</v>
      </c>
      <c r="C169" t="n">
        <v>413.7200012207031</v>
      </c>
      <c r="D169" t="n">
        <v>400.510009765625</v>
      </c>
      <c r="E169" t="n">
        <v>410.6300048828125</v>
      </c>
      <c r="F169" t="n">
        <v>59678800</v>
      </c>
      <c r="G169" t="n">
        <v>0</v>
      </c>
      <c r="H169" t="n">
        <v>0</v>
      </c>
    </row>
    <row r="170">
      <c r="A170" s="3" t="n">
        <v>46071</v>
      </c>
      <c r="B170" t="n">
        <v>411.1099853515625</v>
      </c>
      <c r="C170" t="n">
        <v>416.8999938964844</v>
      </c>
      <c r="D170" t="n">
        <v>409.5799865722656</v>
      </c>
      <c r="E170" t="n">
        <v>411.3200073242188</v>
      </c>
      <c r="F170" t="n">
        <v>45921400</v>
      </c>
      <c r="G170" t="n">
        <v>0</v>
      </c>
      <c r="H170" t="n">
        <v>0</v>
      </c>
    </row>
    <row r="171">
      <c r="A171" s="3" t="n">
        <v>46072</v>
      </c>
      <c r="B171" t="n">
        <v>407.25</v>
      </c>
      <c r="C171" t="n">
        <v>415.25</v>
      </c>
      <c r="D171" t="n">
        <v>404.1099853515625</v>
      </c>
      <c r="E171" t="n">
        <v>411.7099914550781</v>
      </c>
      <c r="F171" t="n">
        <v>51019600</v>
      </c>
      <c r="G171" t="n">
        <v>0</v>
      </c>
      <c r="H171" t="n">
        <v>0</v>
      </c>
    </row>
    <row r="172">
      <c r="A172" s="3" t="n">
        <v>46073</v>
      </c>
      <c r="B172" t="n">
        <v>408.2999877929688</v>
      </c>
      <c r="C172" t="n">
        <v>414.7000122070312</v>
      </c>
      <c r="D172" t="n">
        <v>405.5</v>
      </c>
      <c r="E172" t="n">
        <v>411.8200073242188</v>
      </c>
      <c r="F172" t="n">
        <v>57912200</v>
      </c>
      <c r="G172" t="n">
        <v>0</v>
      </c>
      <c r="H172" t="n">
        <v>0</v>
      </c>
    </row>
    <row r="173">
      <c r="A173" s="3" t="n">
        <v>46076</v>
      </c>
      <c r="B173" t="n">
        <v>407.2900085449219</v>
      </c>
      <c r="C173" t="n">
        <v>407.7000122070312</v>
      </c>
      <c r="D173" t="n">
        <v>394.0400085449219</v>
      </c>
      <c r="E173" t="n">
        <v>399.8299865722656</v>
      </c>
      <c r="F173" t="n">
        <v>69680000</v>
      </c>
      <c r="G173" t="n">
        <v>0</v>
      </c>
      <c r="H173" t="n">
        <v>0</v>
      </c>
    </row>
    <row r="174">
      <c r="A174" s="3" t="n">
        <v>46077</v>
      </c>
      <c r="B174" t="n">
        <v>399.5</v>
      </c>
      <c r="C174" t="n">
        <v>410.8200073242188</v>
      </c>
      <c r="D174" t="n">
        <v>397.6400146484375</v>
      </c>
      <c r="E174" t="n">
        <v>409.3800048828125</v>
      </c>
      <c r="F174" t="n">
        <v>58579500</v>
      </c>
      <c r="G174" t="n">
        <v>0</v>
      </c>
      <c r="H174" t="n">
        <v>0</v>
      </c>
    </row>
    <row r="175">
      <c r="A175" s="3" t="n">
        <v>46078</v>
      </c>
      <c r="B175" t="n">
        <v>412.1499938964844</v>
      </c>
      <c r="C175" t="n">
        <v>420.3399963378906</v>
      </c>
      <c r="D175" t="n">
        <v>412.1499938964844</v>
      </c>
      <c r="E175" t="n">
        <v>417.3999938964844</v>
      </c>
      <c r="F175" t="n">
        <v>54809700</v>
      </c>
      <c r="G175" t="n">
        <v>0</v>
      </c>
      <c r="H175" t="n">
        <v>0</v>
      </c>
    </row>
    <row r="176">
      <c r="A176" s="3" t="n">
        <v>46079</v>
      </c>
      <c r="B176" t="n">
        <v>414.4200134277344</v>
      </c>
      <c r="C176" t="n">
        <v>416.8099975585938</v>
      </c>
      <c r="D176" t="n">
        <v>403.6600036621094</v>
      </c>
      <c r="E176" t="n">
        <v>408.5799865722656</v>
      </c>
      <c r="F176" t="n">
        <v>53602500</v>
      </c>
      <c r="G176" t="n">
        <v>0</v>
      </c>
      <c r="H176" t="n">
        <v>0</v>
      </c>
    </row>
    <row r="177">
      <c r="A177" s="3" t="n">
        <v>46080</v>
      </c>
      <c r="B177" t="n">
        <v>402.9400024414062</v>
      </c>
      <c r="C177" t="n">
        <v>407.1199951171875</v>
      </c>
      <c r="D177" t="n">
        <v>398.1099853515625</v>
      </c>
      <c r="E177" t="n">
        <v>402.510009765625</v>
      </c>
      <c r="F177" t="n">
        <v>56890100</v>
      </c>
      <c r="G177" t="n">
        <v>0</v>
      </c>
      <c r="H177" t="n">
        <v>0</v>
      </c>
    </row>
    <row r="178">
      <c r="A178" s="3" t="n">
        <v>46083</v>
      </c>
      <c r="B178" t="n">
        <v>390.6000061035156</v>
      </c>
      <c r="C178" t="n">
        <v>404.5400085449219</v>
      </c>
      <c r="D178" t="n">
        <v>388.25</v>
      </c>
      <c r="E178" t="n">
        <v>403.3200073242188</v>
      </c>
      <c r="F178" t="n">
        <v>55088300</v>
      </c>
      <c r="G178" t="n">
        <v>0</v>
      </c>
      <c r="H178" t="n">
        <v>0</v>
      </c>
    </row>
    <row r="179">
      <c r="A179" s="3" t="n">
        <v>46084</v>
      </c>
      <c r="B179" t="n">
        <v>395.0899963378906</v>
      </c>
      <c r="C179" t="n">
        <v>396.3399963378906</v>
      </c>
      <c r="D179" t="n">
        <v>385.3900146484375</v>
      </c>
      <c r="E179" t="n">
        <v>392.4299926757812</v>
      </c>
      <c r="F179" t="n">
        <v>62617300</v>
      </c>
      <c r="G179" t="n">
        <v>0</v>
      </c>
      <c r="H179" t="n">
        <v>0</v>
      </c>
    </row>
    <row r="180">
      <c r="A180" s="3" t="n">
        <v>46085</v>
      </c>
      <c r="B180" t="n">
        <v>397.8500061035156</v>
      </c>
      <c r="C180" t="n">
        <v>408.3299865722656</v>
      </c>
      <c r="D180" t="n">
        <v>394.5799865722656</v>
      </c>
      <c r="E180" t="n">
        <v>405.9400024414062</v>
      </c>
      <c r="F180" t="n">
        <v>68305500</v>
      </c>
      <c r="G180" t="n">
        <v>0</v>
      </c>
      <c r="H180" t="n">
        <v>0</v>
      </c>
    </row>
    <row r="181">
      <c r="A181" s="3" t="n">
        <v>46086</v>
      </c>
      <c r="B181" t="n">
        <v>401.5700073242188</v>
      </c>
      <c r="C181" t="n">
        <v>408.6199951171875</v>
      </c>
      <c r="D181" t="n">
        <v>399.4200134277344</v>
      </c>
      <c r="E181" t="n">
        <v>405.5499877929688</v>
      </c>
      <c r="F181" t="n">
        <v>51925900</v>
      </c>
      <c r="G181" t="n">
        <v>0</v>
      </c>
      <c r="H181" t="n">
        <v>0</v>
      </c>
    </row>
    <row r="182">
      <c r="A182" s="3" t="n">
        <v>46087</v>
      </c>
      <c r="B182" t="n">
        <v>398.0899963378906</v>
      </c>
      <c r="C182" t="n">
        <v>402.3500061035156</v>
      </c>
      <c r="D182" t="n">
        <v>394.2099914550781</v>
      </c>
      <c r="E182" t="n">
        <v>396.7300109863281</v>
      </c>
      <c r="F182" t="n">
        <v>64054600</v>
      </c>
      <c r="G182" t="n">
        <v>0</v>
      </c>
      <c r="H182" t="n">
        <v>0</v>
      </c>
    </row>
    <row r="183">
      <c r="A183" s="3" t="n">
        <v>46090</v>
      </c>
      <c r="B183" t="n">
        <v>390.0499877929688</v>
      </c>
      <c r="C183" t="n">
        <v>401.5899963378906</v>
      </c>
      <c r="D183" t="n">
        <v>381.3999938964844</v>
      </c>
      <c r="E183" t="n">
        <v>398.6799926757812</v>
      </c>
      <c r="F183" t="n">
        <v>67018900</v>
      </c>
      <c r="G183" t="n">
        <v>0</v>
      </c>
      <c r="H183" t="n">
        <v>0</v>
      </c>
    </row>
    <row r="184">
      <c r="A184" s="3" t="n">
        <v>46091</v>
      </c>
      <c r="B184" t="n">
        <v>402.2200012207031</v>
      </c>
      <c r="C184" t="n">
        <v>406.5899963378906</v>
      </c>
      <c r="D184" t="n">
        <v>398.1900024414062</v>
      </c>
      <c r="E184" t="n">
        <v>399.239990234375</v>
      </c>
      <c r="F184" t="n">
        <v>59258700</v>
      </c>
      <c r="G184" t="n">
        <v>0</v>
      </c>
      <c r="H184" t="n">
        <v>0</v>
      </c>
    </row>
    <row r="185">
      <c r="A185" s="3" t="n">
        <v>46092</v>
      </c>
      <c r="B185" t="n">
        <v>402.2799987792969</v>
      </c>
      <c r="C185" t="n">
        <v>416.3800048828125</v>
      </c>
      <c r="D185" t="n">
        <v>402.1499938964844</v>
      </c>
      <c r="E185" t="n">
        <v>407.8200073242188</v>
      </c>
      <c r="F185" t="n">
        <v>62559900</v>
      </c>
      <c r="G185" t="n">
        <v>0</v>
      </c>
      <c r="H185" t="n">
        <v>0</v>
      </c>
    </row>
    <row r="186">
      <c r="A186" s="3" t="n">
        <v>46093</v>
      </c>
      <c r="B186" t="n">
        <v>405.1799926757812</v>
      </c>
      <c r="C186" t="n">
        <v>406.5</v>
      </c>
      <c r="D186" t="n">
        <v>394.6499938964844</v>
      </c>
      <c r="E186" t="n">
        <v>395.010009765625</v>
      </c>
      <c r="F186" t="n">
        <v>60973800</v>
      </c>
      <c r="G186" t="n">
        <v>0</v>
      </c>
      <c r="H186" t="n">
        <v>0</v>
      </c>
    </row>
    <row r="187">
      <c r="A187" s="3" t="n">
        <v>46094</v>
      </c>
      <c r="B187" t="n">
        <v>399.1700134277344</v>
      </c>
      <c r="C187" t="n">
        <v>400.2000122070312</v>
      </c>
      <c r="D187" t="n">
        <v>389.9500122070312</v>
      </c>
      <c r="E187" t="n">
        <v>391.2000122070312</v>
      </c>
      <c r="F187" t="n">
        <v>58504100</v>
      </c>
      <c r="G187" t="n">
        <v>0</v>
      </c>
      <c r="H187" t="n">
        <v>0</v>
      </c>
    </row>
    <row r="188">
      <c r="A188" s="3" t="n">
        <v>46097</v>
      </c>
      <c r="B188" t="n">
        <v>396.2200012207031</v>
      </c>
      <c r="C188" t="n">
        <v>403.7300109863281</v>
      </c>
      <c r="D188" t="n">
        <v>394.4200134277344</v>
      </c>
      <c r="E188" t="n">
        <v>395.5599975585938</v>
      </c>
      <c r="F188" t="n">
        <v>58068300</v>
      </c>
      <c r="G188" t="n">
        <v>0</v>
      </c>
      <c r="H188" t="n">
        <v>0</v>
      </c>
    </row>
    <row r="189">
      <c r="A189" s="3" t="n">
        <v>46098</v>
      </c>
      <c r="B189" t="n">
        <v>395.6900024414062</v>
      </c>
      <c r="C189" t="n">
        <v>400.1199951171875</v>
      </c>
      <c r="D189" t="n">
        <v>393</v>
      </c>
      <c r="E189" t="n">
        <v>399.2699890136719</v>
      </c>
      <c r="F189" t="n">
        <v>46890500</v>
      </c>
      <c r="G189" t="n">
        <v>0</v>
      </c>
      <c r="H189" t="n">
        <v>0</v>
      </c>
    </row>
    <row r="190">
      <c r="A190" s="3" t="n">
        <v>46099</v>
      </c>
      <c r="B190" t="n">
        <v>399</v>
      </c>
      <c r="C190" t="n">
        <v>403.0700073242188</v>
      </c>
      <c r="D190" t="n">
        <v>392.3099975585938</v>
      </c>
      <c r="E190" t="n">
        <v>392.7799987792969</v>
      </c>
      <c r="F190" t="n">
        <v>50853100</v>
      </c>
      <c r="G190" t="n">
        <v>0</v>
      </c>
      <c r="H190" t="n">
        <v>0</v>
      </c>
    </row>
    <row r="191">
      <c r="A191" s="3" t="n">
        <v>46100</v>
      </c>
      <c r="B191" t="n">
        <v>387.2699890136719</v>
      </c>
      <c r="C191" t="n">
        <v>387.2699890136719</v>
      </c>
      <c r="D191" t="n">
        <v>378.7300109863281</v>
      </c>
      <c r="E191" t="n">
        <v>380.2999877929688</v>
      </c>
      <c r="F191" t="n">
        <v>67078300</v>
      </c>
      <c r="G191" t="n">
        <v>0</v>
      </c>
      <c r="H191" t="n">
        <v>0</v>
      </c>
    </row>
    <row r="192">
      <c r="A192" s="3" t="n">
        <v>46101</v>
      </c>
      <c r="B192" t="n">
        <v>379.8500061035156</v>
      </c>
      <c r="C192" t="n">
        <v>379.8900146484375</v>
      </c>
      <c r="D192" t="n">
        <v>364.4599914550781</v>
      </c>
      <c r="E192" t="n">
        <v>367.9599914550781</v>
      </c>
      <c r="F192" t="n">
        <v>78628600</v>
      </c>
      <c r="G192" t="n">
        <v>0</v>
      </c>
      <c r="H192" t="n">
        <v>0</v>
      </c>
    </row>
    <row r="193">
      <c r="A193" s="3" t="n">
        <v>46104</v>
      </c>
      <c r="B193" t="n">
        <v>373.0899963378906</v>
      </c>
      <c r="C193" t="n">
        <v>385.3299865722656</v>
      </c>
      <c r="D193" t="n">
        <v>372.7300109863281</v>
      </c>
      <c r="E193" t="n">
        <v>380.8500061035156</v>
      </c>
      <c r="F193" t="n">
        <v>74606000</v>
      </c>
      <c r="G193" t="n">
        <v>0</v>
      </c>
      <c r="H193" t="n">
        <v>0</v>
      </c>
    </row>
    <row r="194">
      <c r="A194" s="3" t="n">
        <v>46105</v>
      </c>
      <c r="B194" t="n">
        <v>376.5599975585938</v>
      </c>
      <c r="C194" t="n">
        <v>387.4800109863281</v>
      </c>
      <c r="D194" t="n">
        <v>376.3099975585938</v>
      </c>
      <c r="E194" t="n">
        <v>383.0299987792969</v>
      </c>
      <c r="F194" t="n">
        <v>60004900</v>
      </c>
      <c r="G194" t="n">
        <v>0</v>
      </c>
      <c r="H194" t="n">
        <v>0</v>
      </c>
    </row>
    <row r="195">
      <c r="A195" s="3" t="n">
        <v>46106</v>
      </c>
      <c r="B195" t="n">
        <v>389.989990234375</v>
      </c>
      <c r="C195" t="n">
        <v>396.2300109863281</v>
      </c>
      <c r="D195" t="n">
        <v>385.010009765625</v>
      </c>
      <c r="E195" t="n">
        <v>385.9500122070312</v>
      </c>
      <c r="F195" t="n">
        <v>55157300</v>
      </c>
      <c r="G195" t="n">
        <v>0</v>
      </c>
      <c r="H195" t="n">
        <v>0</v>
      </c>
    </row>
    <row r="196">
      <c r="A196" s="3" t="n">
        <v>46107</v>
      </c>
      <c r="B196" t="n">
        <v>381.6000061035156</v>
      </c>
      <c r="C196" t="n">
        <v>384.4400024414062</v>
      </c>
      <c r="D196" t="n">
        <v>371.8699951171875</v>
      </c>
      <c r="E196" t="n">
        <v>372.1099853515625</v>
      </c>
      <c r="F196" t="n">
        <v>55522900</v>
      </c>
      <c r="G196" t="n">
        <v>0</v>
      </c>
      <c r="H196" t="n">
        <v>0</v>
      </c>
    </row>
    <row r="197">
      <c r="A197" s="3" t="n">
        <v>46108</v>
      </c>
      <c r="B197" t="n">
        <v>369.6900024414062</v>
      </c>
      <c r="C197" t="n">
        <v>369.8599853515625</v>
      </c>
      <c r="D197" t="n">
        <v>359.4700012207031</v>
      </c>
      <c r="E197" t="n">
        <v>361.8299865722656</v>
      </c>
      <c r="F197" t="n">
        <v>62065700</v>
      </c>
      <c r="G197" t="n">
        <v>0</v>
      </c>
      <c r="H197" t="n">
        <v>0</v>
      </c>
    </row>
    <row r="198">
      <c r="A198" s="3" t="n">
        <v>46111</v>
      </c>
      <c r="B198" t="n">
        <v>365.8599853515625</v>
      </c>
      <c r="C198" t="n">
        <v>367.2900085449219</v>
      </c>
      <c r="D198" t="n">
        <v>352.1400146484375</v>
      </c>
      <c r="E198" t="n">
        <v>355.2799987792969</v>
      </c>
      <c r="F198" t="n">
        <v>67954400</v>
      </c>
      <c r="G198" t="n">
        <v>0</v>
      </c>
      <c r="H198" t="n">
        <v>0</v>
      </c>
    </row>
    <row r="199">
      <c r="A199" s="3" t="n">
        <v>46112</v>
      </c>
      <c r="B199" t="n">
        <v>361.510009765625</v>
      </c>
      <c r="C199" t="n">
        <v>373.3299865722656</v>
      </c>
      <c r="D199" t="n">
        <v>361</v>
      </c>
      <c r="E199" t="n">
        <v>371.75</v>
      </c>
      <c r="F199" t="n">
        <v>75534900</v>
      </c>
      <c r="G199" t="n">
        <v>0</v>
      </c>
      <c r="H199" t="n">
        <v>0</v>
      </c>
    </row>
    <row r="200">
      <c r="A200" s="3" t="n">
        <v>46113</v>
      </c>
      <c r="B200" t="n">
        <v>378.6300048828125</v>
      </c>
      <c r="C200" t="n">
        <v>383.1400146484375</v>
      </c>
      <c r="D200" t="n">
        <v>374.0799865722656</v>
      </c>
      <c r="E200" t="n">
        <v>381.260009765625</v>
      </c>
      <c r="F200" t="n">
        <v>58683800</v>
      </c>
      <c r="G200" t="n">
        <v>0</v>
      </c>
      <c r="H200" t="n">
        <v>0</v>
      </c>
    </row>
    <row r="201">
      <c r="A201" s="3" t="n">
        <v>46114</v>
      </c>
      <c r="B201" t="n">
        <v>364.2000122070312</v>
      </c>
      <c r="C201" t="n">
        <v>370.2799987792969</v>
      </c>
      <c r="D201" t="n">
        <v>359.0299987792969</v>
      </c>
      <c r="E201" t="n">
        <v>360.5899963378906</v>
      </c>
      <c r="F201" t="n">
        <v>83031200</v>
      </c>
      <c r="G201" t="n">
        <v>0</v>
      </c>
      <c r="H201" t="n">
        <v>0</v>
      </c>
    </row>
    <row r="202">
      <c r="A202" s="3" t="n">
        <v>46118</v>
      </c>
      <c r="B202" t="n">
        <v>362.5899963378906</v>
      </c>
      <c r="C202" t="n">
        <v>367.7200012207031</v>
      </c>
      <c r="D202" t="n">
        <v>346.6400146484375</v>
      </c>
      <c r="E202" t="n">
        <v>352.8200073242188</v>
      </c>
      <c r="F202" t="n">
        <v>77697600</v>
      </c>
      <c r="G202" t="n">
        <v>0</v>
      </c>
      <c r="H202" t="n">
        <v>0</v>
      </c>
    </row>
    <row r="203">
      <c r="A203" s="3" t="n">
        <v>46119</v>
      </c>
      <c r="B203" t="n">
        <v>346.4400024414062</v>
      </c>
      <c r="C203" t="n">
        <v>348.0199890136719</v>
      </c>
      <c r="D203" t="n">
        <v>337.239990234375</v>
      </c>
      <c r="E203" t="n">
        <v>346.6499938964844</v>
      </c>
      <c r="F203" t="n">
        <v>74515400</v>
      </c>
      <c r="G203" t="n">
        <v>0</v>
      </c>
      <c r="H203" t="n">
        <v>0</v>
      </c>
    </row>
    <row r="204">
      <c r="A204" s="3" t="n">
        <v>46120</v>
      </c>
      <c r="B204" t="n">
        <v>363.7900085449219</v>
      </c>
      <c r="C204" t="n">
        <v>364.5</v>
      </c>
      <c r="D204" t="n">
        <v>339.6700134277344</v>
      </c>
      <c r="E204" t="n">
        <v>343.25</v>
      </c>
      <c r="F204" t="n">
        <v>78838600</v>
      </c>
      <c r="G204" t="n">
        <v>0</v>
      </c>
      <c r="H204" t="n">
        <v>0</v>
      </c>
    </row>
    <row r="205">
      <c r="A205" s="3" t="n">
        <v>46121</v>
      </c>
      <c r="B205" t="n">
        <v>343.1499938964844</v>
      </c>
      <c r="C205" t="n">
        <v>348.8800048828125</v>
      </c>
      <c r="D205" t="n">
        <v>337.25</v>
      </c>
      <c r="E205" t="n">
        <v>345.6199951171875</v>
      </c>
      <c r="F205" t="n">
        <v>62164000</v>
      </c>
      <c r="G205" t="n">
        <v>0</v>
      </c>
      <c r="H205" t="n">
        <v>0</v>
      </c>
    </row>
    <row r="206">
      <c r="A206" s="3" t="n">
        <v>46122</v>
      </c>
      <c r="B206" t="n">
        <v>346.2900085449219</v>
      </c>
      <c r="C206" t="n">
        <v>350.3599853515625</v>
      </c>
      <c r="D206" t="n">
        <v>342.739990234375</v>
      </c>
      <c r="E206" t="n">
        <v>348.9500122070312</v>
      </c>
      <c r="F206" t="n">
        <v>51336000</v>
      </c>
      <c r="G206" t="n">
        <v>0</v>
      </c>
      <c r="H206" t="n">
        <v>0</v>
      </c>
    </row>
    <row r="207">
      <c r="A207" s="3" t="n">
        <v>46125</v>
      </c>
      <c r="B207" t="n">
        <v>350.0700073242188</v>
      </c>
      <c r="C207" t="n">
        <v>356.3500061035156</v>
      </c>
      <c r="D207" t="n">
        <v>348.5700073242188</v>
      </c>
      <c r="E207" t="n">
        <v>352.4200134277344</v>
      </c>
      <c r="F207" t="n">
        <v>53617500</v>
      </c>
      <c r="G207" t="n">
        <v>0</v>
      </c>
      <c r="H207" t="n">
        <v>0</v>
      </c>
    </row>
    <row r="208">
      <c r="A208" s="3" t="n">
        <v>46126</v>
      </c>
      <c r="B208" t="n">
        <v>357.6700134277344</v>
      </c>
      <c r="C208" t="n">
        <v>367.6300048828125</v>
      </c>
      <c r="D208" t="n">
        <v>354.7699890136719</v>
      </c>
      <c r="E208" t="n">
        <v>364.2000122070312</v>
      </c>
      <c r="F208" t="n">
        <v>59979600</v>
      </c>
      <c r="G208" t="n">
        <v>0</v>
      </c>
      <c r="H208" t="n">
        <v>0</v>
      </c>
    </row>
    <row r="209">
      <c r="A209" s="3" t="n">
        <v>46127</v>
      </c>
      <c r="B209" t="n">
        <v>366.8299865722656</v>
      </c>
      <c r="C209" t="n">
        <v>394.6499938964844</v>
      </c>
      <c r="D209" t="n">
        <v>362.5</v>
      </c>
      <c r="E209" t="n">
        <v>391.9500122070312</v>
      </c>
      <c r="F209" t="n">
        <v>113810400</v>
      </c>
      <c r="G209" t="n">
        <v>0</v>
      </c>
      <c r="H209" t="n">
        <v>0</v>
      </c>
    </row>
    <row r="210">
      <c r="A210" s="3" t="n">
        <v>46128</v>
      </c>
      <c r="B210" t="n">
        <v>393.8099975585938</v>
      </c>
      <c r="C210" t="n">
        <v>394.0599975585938</v>
      </c>
      <c r="D210" t="n">
        <v>381.7999877929688</v>
      </c>
      <c r="E210" t="n">
        <v>388.8999938964844</v>
      </c>
      <c r="F210" t="n">
        <v>63515100</v>
      </c>
      <c r="G210" t="n">
        <v>0</v>
      </c>
      <c r="H210" t="n">
        <v>0</v>
      </c>
    </row>
    <row r="211">
      <c r="A211" s="3" t="n">
        <v>46129</v>
      </c>
      <c r="B211" t="n">
        <v>395.9200134277344</v>
      </c>
      <c r="C211" t="n">
        <v>409.2799987792969</v>
      </c>
      <c r="D211" t="n">
        <v>391.6499938964844</v>
      </c>
      <c r="E211" t="n">
        <v>400.6199951171875</v>
      </c>
      <c r="F211" t="n">
        <v>90640000</v>
      </c>
      <c r="G211" t="n">
        <v>0</v>
      </c>
      <c r="H211" t="n">
        <v>0</v>
      </c>
    </row>
    <row r="212">
      <c r="A212" s="3" t="n">
        <v>46132</v>
      </c>
      <c r="B212" t="n">
        <v>402.5799865722656</v>
      </c>
      <c r="C212" t="n">
        <v>406.7999877929688</v>
      </c>
      <c r="D212" t="n">
        <v>388.3299865722656</v>
      </c>
      <c r="E212" t="n">
        <v>392.5</v>
      </c>
      <c r="F212" t="n">
        <v>64603900</v>
      </c>
      <c r="G212" t="n">
        <v>0</v>
      </c>
      <c r="H212" t="n">
        <v>0</v>
      </c>
    </row>
    <row r="213">
      <c r="A213" s="3" t="n">
        <v>46133</v>
      </c>
      <c r="B213" t="n">
        <v>393</v>
      </c>
      <c r="C213" t="n">
        <v>393.9500122070312</v>
      </c>
      <c r="D213" t="n">
        <v>385.2200012207031</v>
      </c>
      <c r="E213" t="n">
        <v>386.4200134277344</v>
      </c>
      <c r="F213" t="n">
        <v>50530600</v>
      </c>
      <c r="G213" t="n">
        <v>0</v>
      </c>
      <c r="H213" t="n">
        <v>0</v>
      </c>
    </row>
    <row r="214">
      <c r="A214" s="3" t="n">
        <v>46134</v>
      </c>
      <c r="B214" t="n">
        <v>387.5700073242188</v>
      </c>
      <c r="C214" t="n">
        <v>393.010009765625</v>
      </c>
      <c r="D214" t="n">
        <v>385.2999877929688</v>
      </c>
      <c r="E214" t="n">
        <v>387.510009765625</v>
      </c>
      <c r="F214" t="n">
        <v>62362800</v>
      </c>
      <c r="G214" t="n">
        <v>0</v>
      </c>
      <c r="H214" t="n">
        <v>0</v>
      </c>
    </row>
    <row r="215">
      <c r="A215" s="3" t="n">
        <v>46135</v>
      </c>
      <c r="B215" t="n">
        <v>375.2799987792969</v>
      </c>
      <c r="C215" t="n">
        <v>386</v>
      </c>
      <c r="D215" t="n">
        <v>368.3900146484375</v>
      </c>
      <c r="E215" t="n">
        <v>373.7200012207031</v>
      </c>
      <c r="F215" t="n">
        <v>93969500</v>
      </c>
      <c r="G215" t="n">
        <v>0</v>
      </c>
      <c r="H215" t="n">
        <v>0</v>
      </c>
    </row>
    <row r="216">
      <c r="A216" s="3" t="n">
        <v>46136</v>
      </c>
      <c r="B216" t="n">
        <v>373.5</v>
      </c>
      <c r="C216" t="n">
        <v>382.760009765625</v>
      </c>
      <c r="D216" t="n">
        <v>370.7300109863281</v>
      </c>
      <c r="E216" t="n">
        <v>376.2999877929688</v>
      </c>
      <c r="F216" t="n">
        <v>62893300</v>
      </c>
      <c r="G216" t="n">
        <v>0</v>
      </c>
      <c r="H216" t="n">
        <v>0</v>
      </c>
    </row>
    <row r="217">
      <c r="A217" s="3" t="n">
        <v>46139</v>
      </c>
      <c r="B217" t="n">
        <v>372.0899963378906</v>
      </c>
      <c r="C217" t="n">
        <v>380.7799987792969</v>
      </c>
      <c r="D217" t="n">
        <v>364.0199890136719</v>
      </c>
      <c r="E217" t="n">
        <v>378.6700134277344</v>
      </c>
      <c r="F217" t="n">
        <v>66735800</v>
      </c>
      <c r="G217" t="n">
        <v>0</v>
      </c>
      <c r="H217" t="n">
        <v>0</v>
      </c>
    </row>
    <row r="218">
      <c r="A218" s="3" t="n">
        <v>46140</v>
      </c>
      <c r="B218" t="n">
        <v>374.6799926757812</v>
      </c>
      <c r="C218" t="n">
        <v>382.2900085449219</v>
      </c>
      <c r="D218" t="n">
        <v>372.5400085449219</v>
      </c>
      <c r="E218" t="n">
        <v>376.0199890136719</v>
      </c>
      <c r="F218" t="n">
        <v>50864400</v>
      </c>
      <c r="G218" t="n">
        <v>0</v>
      </c>
      <c r="H218" t="n">
        <v>0</v>
      </c>
    </row>
    <row r="219">
      <c r="A219" s="3" t="n">
        <v>46141</v>
      </c>
      <c r="B219" t="n">
        <v>375.3999938964844</v>
      </c>
      <c r="C219" t="n">
        <v>376.3999938964844</v>
      </c>
      <c r="D219" t="n">
        <v>370.0400085449219</v>
      </c>
      <c r="E219" t="n">
        <v>372.7999877929688</v>
      </c>
      <c r="F219" t="n">
        <v>45384800</v>
      </c>
      <c r="G219" t="n">
        <v>0</v>
      </c>
      <c r="H219" t="n">
        <v>0</v>
      </c>
    </row>
    <row r="220">
      <c r="A220" s="3" t="n">
        <v>46142</v>
      </c>
      <c r="B220" t="n">
        <v>372.75</v>
      </c>
      <c r="C220" t="n">
        <v>384.75</v>
      </c>
      <c r="D220" t="n">
        <v>368.1700134277344</v>
      </c>
      <c r="E220" t="n">
        <v>381.6300048828125</v>
      </c>
      <c r="F220" t="n">
        <v>51076000</v>
      </c>
      <c r="G220" t="n">
        <v>0</v>
      </c>
      <c r="H220" t="n">
        <v>0</v>
      </c>
    </row>
    <row r="221">
      <c r="A221" s="3" t="n">
        <v>46143</v>
      </c>
      <c r="B221" t="n">
        <v>382.489990234375</v>
      </c>
      <c r="C221" t="n">
        <v>397.8200073242188</v>
      </c>
      <c r="D221" t="n">
        <v>378.7999877929688</v>
      </c>
      <c r="E221" t="n">
        <v>390.8200073242188</v>
      </c>
      <c r="F221" t="n">
        <v>65338300</v>
      </c>
      <c r="G221" t="n">
        <v>0</v>
      </c>
      <c r="H221" t="n">
        <v>0</v>
      </c>
    </row>
    <row r="222">
      <c r="A222" s="3" t="n">
        <v>46146</v>
      </c>
      <c r="B222" t="n">
        <v>390.2300109863281</v>
      </c>
      <c r="C222" t="n">
        <v>394.6400146484375</v>
      </c>
      <c r="D222" t="n">
        <v>384.7999877929688</v>
      </c>
      <c r="E222" t="n">
        <v>392.510009765625</v>
      </c>
      <c r="F222" t="n">
        <v>48765100</v>
      </c>
      <c r="G222" t="n">
        <v>0</v>
      </c>
      <c r="H222" t="n">
        <v>0</v>
      </c>
    </row>
    <row r="223">
      <c r="A223" s="3" t="n">
        <v>46147</v>
      </c>
      <c r="B223" t="n">
        <v>395.1900024414062</v>
      </c>
      <c r="C223" t="n">
        <v>402.1199951171875</v>
      </c>
      <c r="D223" t="n">
        <v>389</v>
      </c>
      <c r="E223" t="n">
        <v>389.3699951171875</v>
      </c>
      <c r="F223" t="n">
        <v>47780600</v>
      </c>
      <c r="G223" t="n">
        <v>0</v>
      </c>
      <c r="H223" t="n">
        <v>0</v>
      </c>
    </row>
    <row r="224">
      <c r="A224" s="3" t="n">
        <v>46148</v>
      </c>
      <c r="B224" t="n">
        <v>386.25</v>
      </c>
      <c r="C224" t="n">
        <v>401.6799926757812</v>
      </c>
      <c r="D224" t="n">
        <v>384.0199890136719</v>
      </c>
      <c r="E224" t="n">
        <v>398.7300109863281</v>
      </c>
      <c r="F224" t="n">
        <v>53465400</v>
      </c>
      <c r="G224" t="n">
        <v>0</v>
      </c>
      <c r="H224" t="n">
        <v>0</v>
      </c>
    </row>
    <row r="225">
      <c r="A225" s="3" t="n">
        <v>46149</v>
      </c>
      <c r="B225" t="n">
        <v>407.4800109863281</v>
      </c>
      <c r="C225" t="n">
        <v>415.8299865722656</v>
      </c>
      <c r="D225" t="n">
        <v>402.1199951171875</v>
      </c>
      <c r="E225" t="n">
        <v>411.7900085449219</v>
      </c>
      <c r="F225" t="n">
        <v>64294200</v>
      </c>
      <c r="G225" t="n">
        <v>0</v>
      </c>
      <c r="H225" t="n">
        <v>0</v>
      </c>
    </row>
    <row r="226">
      <c r="A226" s="3" t="n">
        <v>46150</v>
      </c>
      <c r="B226" t="n">
        <v>416.4800109863281</v>
      </c>
      <c r="C226" t="n">
        <v>431.2000122070312</v>
      </c>
      <c r="D226" t="n">
        <v>416.3900146484375</v>
      </c>
      <c r="E226" t="n">
        <v>428.3500061035156</v>
      </c>
      <c r="F226" t="n">
        <v>65050000</v>
      </c>
      <c r="G226" t="n">
        <v>0</v>
      </c>
      <c r="H226" t="n">
        <v>0</v>
      </c>
    </row>
    <row r="227">
      <c r="A227" s="3" t="n">
        <v>46153</v>
      </c>
      <c r="B227" t="n">
        <v>422.1600036621094</v>
      </c>
      <c r="C227" t="n">
        <v>449.1600036621094</v>
      </c>
      <c r="D227" t="n">
        <v>416.7999877929688</v>
      </c>
      <c r="E227" t="n">
        <v>445</v>
      </c>
      <c r="F227" t="n">
        <v>78376100</v>
      </c>
      <c r="G227" t="n">
        <v>0</v>
      </c>
      <c r="H227" t="n">
        <v>0</v>
      </c>
    </row>
    <row r="228">
      <c r="A228" s="3" t="n">
        <v>46154</v>
      </c>
      <c r="B228" t="n">
        <v>441.4100036621094</v>
      </c>
      <c r="C228" t="n">
        <v>447.7999877929688</v>
      </c>
      <c r="D228" t="n">
        <v>422.260009765625</v>
      </c>
      <c r="E228" t="n">
        <v>433.4500122070312</v>
      </c>
      <c r="F228" t="n">
        <v>60569300</v>
      </c>
      <c r="G228" t="n">
        <v>0</v>
      </c>
      <c r="H228" t="n">
        <v>0</v>
      </c>
    </row>
    <row r="229">
      <c r="A229" s="3" t="n">
        <v>46155</v>
      </c>
      <c r="B229" t="n">
        <v>436.6700134277344</v>
      </c>
      <c r="C229" t="n">
        <v>453.3999938964844</v>
      </c>
      <c r="D229" t="n">
        <v>430.2099914550781</v>
      </c>
      <c r="E229" t="n">
        <v>445.2699890136719</v>
      </c>
      <c r="F229" t="n">
        <v>68283200</v>
      </c>
      <c r="G229" t="n">
        <v>0</v>
      </c>
      <c r="H229" t="n">
        <v>0</v>
      </c>
    </row>
    <row r="230">
      <c r="A230" s="3" t="n">
        <v>46156</v>
      </c>
      <c r="B230" t="n">
        <v>446.489990234375</v>
      </c>
      <c r="C230" t="n">
        <v>451.9800109863281</v>
      </c>
      <c r="D230" t="n">
        <v>441.1600036621094</v>
      </c>
      <c r="E230" t="n">
        <v>443.2999877929688</v>
      </c>
      <c r="F230" t="n">
        <v>46070400</v>
      </c>
      <c r="G230" t="n">
        <v>0</v>
      </c>
      <c r="H230" t="n">
        <v>0</v>
      </c>
    </row>
    <row r="231">
      <c r="A231" s="3" t="n">
        <v>46157</v>
      </c>
      <c r="B231" t="n">
        <v>433.9800109863281</v>
      </c>
      <c r="C231" t="n">
        <v>434.6600036621094</v>
      </c>
      <c r="D231" t="n">
        <v>422</v>
      </c>
      <c r="E231" t="n">
        <v>422.239990234375</v>
      </c>
      <c r="F231" t="n">
        <v>52688700</v>
      </c>
      <c r="G231" t="n">
        <v>0</v>
      </c>
      <c r="H231" t="n">
        <v>0</v>
      </c>
    </row>
    <row r="232">
      <c r="A232" s="3" t="n">
        <v>46160</v>
      </c>
      <c r="B232" t="n">
        <v>419.2699890136719</v>
      </c>
      <c r="C232" t="n">
        <v>421.1300048828125</v>
      </c>
      <c r="D232" t="n">
        <v>405.3299865722656</v>
      </c>
      <c r="E232" t="n">
        <v>409.989990234375</v>
      </c>
      <c r="F232" t="n">
        <v>52474200</v>
      </c>
      <c r="G232" t="n">
        <v>0</v>
      </c>
      <c r="H232" t="n">
        <v>0</v>
      </c>
    </row>
    <row r="233">
      <c r="A233" s="3" t="n">
        <v>46161</v>
      </c>
      <c r="B233" t="n">
        <v>403.1600036621094</v>
      </c>
      <c r="C233" t="n">
        <v>405.6300048828125</v>
      </c>
      <c r="D233" t="n">
        <v>393.6300048828125</v>
      </c>
      <c r="E233" t="n">
        <v>404.1099853515625</v>
      </c>
      <c r="F233" t="n">
        <v>46500600</v>
      </c>
      <c r="G233" t="n">
        <v>0</v>
      </c>
      <c r="H233" t="n">
        <v>0</v>
      </c>
    </row>
    <row r="234">
      <c r="A234" s="3" t="n">
        <v>46162</v>
      </c>
      <c r="B234" t="n">
        <v>407.6000061035156</v>
      </c>
      <c r="C234" t="n">
        <v>417.4599914550781</v>
      </c>
      <c r="D234" t="n">
        <v>406.3900146484375</v>
      </c>
      <c r="E234" t="n">
        <v>417.260009765625</v>
      </c>
      <c r="F234" t="n">
        <v>45294700</v>
      </c>
      <c r="G234" t="n">
        <v>0</v>
      </c>
      <c r="H234" t="n">
        <v>0</v>
      </c>
    </row>
    <row r="235">
      <c r="A235" s="3" t="n">
        <v>46163</v>
      </c>
      <c r="B235" t="n">
        <v>422.1799926757812</v>
      </c>
      <c r="C235" t="n">
        <v>426.9500122070312</v>
      </c>
      <c r="D235" t="n">
        <v>412.8999938964844</v>
      </c>
      <c r="E235" t="n">
        <v>417.8500061035156</v>
      </c>
      <c r="F235" t="n">
        <v>42636900</v>
      </c>
      <c r="G235" t="n">
        <v>0</v>
      </c>
      <c r="H235" t="n">
        <v>0</v>
      </c>
    </row>
    <row r="236">
      <c r="A236" s="3" t="n">
        <v>46164</v>
      </c>
      <c r="B236" t="n">
        <v>422.6700134277344</v>
      </c>
      <c r="C236" t="n">
        <v>431.510009765625</v>
      </c>
      <c r="D236" t="n">
        <v>420.510009765625</v>
      </c>
      <c r="E236" t="n">
        <v>426.010009765625</v>
      </c>
      <c r="F236" t="n">
        <v>46104700</v>
      </c>
      <c r="G236" t="n">
        <v>0</v>
      </c>
      <c r="H236" t="n">
        <v>0</v>
      </c>
    </row>
    <row r="237">
      <c r="A237" s="3" t="n">
        <v>46168</v>
      </c>
      <c r="B237" t="n">
        <v>430.260009765625</v>
      </c>
      <c r="C237" t="n">
        <v>435.2000122070312</v>
      </c>
      <c r="D237" t="n">
        <v>426.1199951171875</v>
      </c>
      <c r="E237" t="n">
        <v>433.5899963378906</v>
      </c>
      <c r="F237" t="n">
        <v>45658900</v>
      </c>
      <c r="G237" t="n">
        <v>0</v>
      </c>
      <c r="H237" t="n">
        <v>0</v>
      </c>
    </row>
    <row r="238">
      <c r="A238" s="3" t="n">
        <v>46169</v>
      </c>
      <c r="B238" t="n">
        <v>442.8900146484375</v>
      </c>
      <c r="C238" t="n">
        <v>445.6000061035156</v>
      </c>
      <c r="D238" t="n">
        <v>435.5199890136719</v>
      </c>
      <c r="E238" t="n">
        <v>440.3599853515625</v>
      </c>
      <c r="F238" t="n">
        <v>44656500</v>
      </c>
      <c r="G238" t="n">
        <v>0</v>
      </c>
      <c r="H238" t="n">
        <v>0</v>
      </c>
    </row>
    <row r="239">
      <c r="A239" s="3" t="n">
        <v>46170</v>
      </c>
      <c r="B239" t="n">
        <v>437.6199951171875</v>
      </c>
      <c r="C239" t="n">
        <v>443.9599914550781</v>
      </c>
      <c r="D239" t="n">
        <v>436.2999877929688</v>
      </c>
      <c r="E239" t="n">
        <v>442.1000061035156</v>
      </c>
      <c r="F239" t="n">
        <v>32435000</v>
      </c>
      <c r="G239" t="n">
        <v>0</v>
      </c>
      <c r="H239" t="n">
        <v>0</v>
      </c>
    </row>
    <row r="240">
      <c r="A240" s="3" t="n">
        <v>46171</v>
      </c>
      <c r="B240" t="n">
        <v>439.8500061035156</v>
      </c>
      <c r="C240" t="n">
        <v>441.0700073242188</v>
      </c>
      <c r="D240" t="n">
        <v>428.1400146484375</v>
      </c>
      <c r="E240" t="n">
        <v>435.7900085449219</v>
      </c>
      <c r="F240" t="n">
        <v>45176800</v>
      </c>
      <c r="G240" t="n">
        <v>0</v>
      </c>
      <c r="H240" t="n">
        <v>0</v>
      </c>
    </row>
    <row r="241">
      <c r="A241" s="3" t="n">
        <v>46174</v>
      </c>
      <c r="B241" t="n">
        <v>427.489990234375</v>
      </c>
      <c r="C241" t="n">
        <v>429.6000061035156</v>
      </c>
      <c r="D241" t="n">
        <v>415.4299926757812</v>
      </c>
      <c r="E241" t="n">
        <v>415.8800048828125</v>
      </c>
      <c r="F241" t="n">
        <v>44937900</v>
      </c>
      <c r="G241" t="n">
        <v>0</v>
      </c>
      <c r="H241" t="n">
        <v>0</v>
      </c>
    </row>
    <row r="242">
      <c r="A242" s="3" t="n">
        <v>46175</v>
      </c>
      <c r="B242" t="n">
        <v>418.2200012207031</v>
      </c>
      <c r="C242" t="n">
        <v>424.4200134277344</v>
      </c>
      <c r="D242" t="n">
        <v>413.6499938964844</v>
      </c>
      <c r="E242" t="n">
        <v>423.739990234375</v>
      </c>
      <c r="F242" t="n">
        <v>37596000</v>
      </c>
      <c r="G242" t="n">
        <v>0</v>
      </c>
      <c r="H242" t="n">
        <v>0</v>
      </c>
    </row>
    <row r="243">
      <c r="A243" s="3" t="n">
        <v>46176</v>
      </c>
      <c r="B243" t="n">
        <v>418.7000122070312</v>
      </c>
      <c r="C243" t="n">
        <v>433.6000061035156</v>
      </c>
      <c r="D243" t="n">
        <v>416</v>
      </c>
      <c r="E243" t="n">
        <v>423.7000122070312</v>
      </c>
      <c r="F243" t="n">
        <v>44500700</v>
      </c>
      <c r="G243" t="n">
        <v>0</v>
      </c>
      <c r="H243" t="n">
        <v>0</v>
      </c>
    </row>
    <row r="244">
      <c r="A244" s="3" t="n">
        <v>46177</v>
      </c>
      <c r="B244" t="n">
        <v>419.8399963378906</v>
      </c>
      <c r="C244" t="n">
        <v>426.3500061035156</v>
      </c>
      <c r="D244" t="n">
        <v>417.1600036621094</v>
      </c>
      <c r="E244" t="n">
        <v>418.4500122070312</v>
      </c>
      <c r="F244" t="n">
        <v>35323300</v>
      </c>
      <c r="G244" t="n">
        <v>0</v>
      </c>
      <c r="H244" t="n">
        <v>0</v>
      </c>
    </row>
    <row r="245">
      <c r="A245" s="3" t="n">
        <v>46178</v>
      </c>
      <c r="B245" t="n">
        <v>420.5</v>
      </c>
      <c r="C245" t="n">
        <v>424.6799926757812</v>
      </c>
      <c r="D245" t="n">
        <v>388.5899963378906</v>
      </c>
      <c r="E245" t="n">
        <v>391</v>
      </c>
      <c r="F245" t="n">
        <v>63420200</v>
      </c>
      <c r="G245" t="n">
        <v>0</v>
      </c>
      <c r="H245" t="n">
        <v>0</v>
      </c>
    </row>
    <row r="246">
      <c r="A246" s="3" t="n">
        <v>46181</v>
      </c>
      <c r="B246" t="n">
        <v>396.3299865722656</v>
      </c>
      <c r="C246" t="n">
        <v>412.9400024414062</v>
      </c>
      <c r="D246" t="n">
        <v>394.7200012207031</v>
      </c>
      <c r="E246" t="n">
        <v>408.9500122070312</v>
      </c>
      <c r="F246" t="n">
        <v>50328800</v>
      </c>
      <c r="G246" t="n">
        <v>0</v>
      </c>
      <c r="H246" t="n">
        <v>0</v>
      </c>
    </row>
    <row r="247">
      <c r="A247" s="3" t="n">
        <v>46182</v>
      </c>
      <c r="B247" t="n">
        <v>411.0299987792969</v>
      </c>
      <c r="C247" t="n">
        <v>418.5</v>
      </c>
      <c r="D247" t="n">
        <v>384.239990234375</v>
      </c>
      <c r="E247" t="n">
        <v>396.6799926757812</v>
      </c>
      <c r="F247" t="n">
        <v>59940200</v>
      </c>
      <c r="G247" t="n">
        <v>0</v>
      </c>
      <c r="H247" t="n">
        <v>0</v>
      </c>
    </row>
    <row r="248">
      <c r="A248" s="3" t="n">
        <v>46183</v>
      </c>
      <c r="B248" t="n">
        <v>391.5400085449219</v>
      </c>
      <c r="C248" t="n">
        <v>397.0899963378906</v>
      </c>
      <c r="D248" t="n">
        <v>380.1499938964844</v>
      </c>
      <c r="E248" t="n">
        <v>381.5899963378906</v>
      </c>
      <c r="F248" t="n">
        <v>49695600</v>
      </c>
      <c r="G248" t="n">
        <v>0</v>
      </c>
      <c r="H248" t="n">
        <v>0</v>
      </c>
    </row>
    <row r="249">
      <c r="A249" s="3" t="n">
        <v>46184</v>
      </c>
      <c r="B249" t="n">
        <v>388.2799987792969</v>
      </c>
      <c r="C249" t="n">
        <v>399.5400085449219</v>
      </c>
      <c r="D249" t="n">
        <v>380.6600036621094</v>
      </c>
      <c r="E249" t="n">
        <v>399.1499938964844</v>
      </c>
      <c r="F249" t="n">
        <v>45324300</v>
      </c>
      <c r="G249" t="n">
        <v>0</v>
      </c>
      <c r="H249" t="n">
        <v>0</v>
      </c>
    </row>
    <row r="250">
      <c r="A250" s="3" t="n">
        <v>46185</v>
      </c>
      <c r="B250" t="n">
        <v>399.489990234375</v>
      </c>
      <c r="C250" t="n">
        <v>406.6799926757812</v>
      </c>
      <c r="D250" t="n">
        <v>386.760009765625</v>
      </c>
      <c r="E250" t="n">
        <v>406.4299926757812</v>
      </c>
      <c r="F250" t="n">
        <v>63514500</v>
      </c>
      <c r="G250" t="n">
        <v>0</v>
      </c>
      <c r="H250" t="n">
        <v>0</v>
      </c>
    </row>
    <row r="251">
      <c r="A251" s="3" t="n">
        <v>46188</v>
      </c>
      <c r="B251" t="n">
        <v>412.3699951171875</v>
      </c>
      <c r="C251" t="n">
        <v>416</v>
      </c>
      <c r="D251" t="n">
        <v>407.1000061035156</v>
      </c>
      <c r="E251" t="n">
        <v>411.1499938964844</v>
      </c>
      <c r="F251" t="n">
        <v>45620500</v>
      </c>
      <c r="G251" t="n">
        <v>0</v>
      </c>
      <c r="H251" t="n">
        <v>0</v>
      </c>
    </row>
    <row r="252">
      <c r="A252" s="3" t="n">
        <v>46189</v>
      </c>
      <c r="B252" t="n">
        <v>404.1099853515625</v>
      </c>
      <c r="C252" t="n">
        <v>412.4200134277344</v>
      </c>
      <c r="D252" t="n">
        <v>400.5400085449219</v>
      </c>
      <c r="E252" t="n">
        <v>404.6600036621094</v>
      </c>
      <c r="F252" t="n">
        <v>40255500</v>
      </c>
      <c r="G252" t="n">
        <v>0</v>
      </c>
      <c r="H252" t="n">
        <v>0</v>
      </c>
    </row>
    <row r="253">
      <c r="A253" s="3" t="n">
        <v>46190</v>
      </c>
      <c r="B253" t="n">
        <v>401.5299987792969</v>
      </c>
      <c r="C253" t="n">
        <v>405.9400024414062</v>
      </c>
      <c r="D253" t="n">
        <v>393.760009765625</v>
      </c>
      <c r="E253" t="n">
        <v>396.3800048828125</v>
      </c>
      <c r="F253" t="n">
        <v>43376000</v>
      </c>
      <c r="G253" t="n">
        <v>0</v>
      </c>
      <c r="H25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48" customWidth="1" min="3" max="3"/>
  </cols>
  <sheetData>
    <row r="1">
      <c r="A1" t="inlineStr">
        <is>
          <t>Parameter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Base Year (budget)</t>
        </is>
      </c>
      <c r="B2" t="n">
        <v>2024</v>
      </c>
      <c r="C2" t="inlineStr">
        <is>
          <t>Last full-year actual used for forward budget</t>
        </is>
      </c>
    </row>
    <row r="3">
      <c r="A3" t="inlineStr">
        <is>
          <t>Latest Actual Year</t>
        </is>
      </c>
      <c r="B3" t="n">
        <v>2025</v>
      </c>
      <c r="C3" t="inlineStr">
        <is>
          <t>Year used for variance analysis</t>
        </is>
      </c>
    </row>
    <row r="4">
      <c r="A4" t="inlineStr">
        <is>
          <t>Budget — Revenue Growth %</t>
        </is>
      </c>
      <c r="B4" t="n">
        <v>0.12</v>
      </c>
      <c r="C4" t="inlineStr">
        <is>
          <t>Applied to Total Revenue each forward year</t>
        </is>
      </c>
    </row>
    <row r="5">
      <c r="A5" t="inlineStr">
        <is>
          <t>Budget — COGS Growth %</t>
        </is>
      </c>
      <c r="B5" t="n">
        <v>0.12</v>
      </c>
      <c r="C5" t="inlineStr">
        <is>
          <t>Applied to Cost Of Revenue</t>
        </is>
      </c>
    </row>
    <row r="6">
      <c r="A6" t="inlineStr">
        <is>
          <t>Budget — OpEx Growth %</t>
        </is>
      </c>
      <c r="B6" t="n">
        <v>0.08</v>
      </c>
      <c r="C6" t="inlineStr">
        <is>
          <t>Applied to Operating Expense</t>
        </is>
      </c>
    </row>
    <row r="7">
      <c r="A7" t="inlineStr">
        <is>
          <t>Budget — Net Income Tax Rate %</t>
        </is>
      </c>
      <c r="B7" t="n">
        <v>0.25</v>
      </c>
      <c r="C7" t="inlineStr">
        <is>
          <t>Net Income = Operating Income × (1 − rate)</t>
        </is>
      </c>
    </row>
    <row r="8">
      <c r="A8" t="inlineStr">
        <is>
          <t>Budget — Years Forward</t>
        </is>
      </c>
      <c r="B8" t="n">
        <v>2</v>
      </c>
      <c r="C8" t="inlineStr">
        <is>
          <t>Number of budget years after base year</t>
        </is>
      </c>
    </row>
    <row r="9">
      <c r="A9" t="inlineStr">
        <is>
          <t>Forecast — Revenue Growth %</t>
        </is>
      </c>
      <c r="B9" t="n">
        <v>0.1</v>
      </c>
      <c r="C9" t="inlineStr">
        <is>
          <t>Simple forward revenue forecast</t>
        </is>
      </c>
    </row>
    <row r="10">
      <c r="A10" t="inlineStr">
        <is>
          <t>Scenario — Bear Growth %</t>
        </is>
      </c>
      <c r="B10" t="n">
        <v>-0.05</v>
      </c>
      <c r="C10" t="inlineStr">
        <is>
          <t>Annual revenue growth in bear case</t>
        </is>
      </c>
    </row>
    <row r="11">
      <c r="A11" t="inlineStr">
        <is>
          <t>Scenario — Base Growth %</t>
        </is>
      </c>
      <c r="B11" t="n">
        <v>0.1</v>
      </c>
      <c r="C11" t="inlineStr">
        <is>
          <t>Annual revenue growth in base case</t>
        </is>
      </c>
    </row>
    <row r="12">
      <c r="A12" t="inlineStr">
        <is>
          <t>Scenario — Bull Growth %</t>
        </is>
      </c>
      <c r="B12" t="n">
        <v>0.25</v>
      </c>
      <c r="C12" t="inlineStr">
        <is>
          <t>Annual revenue growth in bull case</t>
        </is>
      </c>
    </row>
    <row r="13">
      <c r="A13" t="inlineStr">
        <is>
          <t>Sensitivity — Driver Change %</t>
        </is>
      </c>
      <c r="B13" t="n">
        <v>0.1</v>
      </c>
      <c r="C13" t="inlineStr">
        <is>
          <t>± change used in tornado / one-way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Total Revenue</t>
        </is>
      </c>
      <c r="B2">
        <f>IFERROR('02_Income_Raw'!B$2,)</f>
        <v/>
      </c>
      <c r="C2">
        <f>IFERROR('02_Income_Raw'!C$2,)</f>
        <v/>
      </c>
      <c r="D2">
        <f>IFERROR('02_Income_Raw'!D$2,)</f>
        <v/>
      </c>
      <c r="E2">
        <f>IFERROR('02_Income_Raw'!E$2,)</f>
        <v/>
      </c>
      <c r="F2">
        <f>IFERROR('02_Income_Raw'!F$2,)</f>
        <v/>
      </c>
    </row>
    <row r="3">
      <c r="A3" t="inlineStr">
        <is>
          <t>Cost Of Revenue</t>
        </is>
      </c>
      <c r="B3">
        <f>IFERROR('02_Income_Raw'!B$4,)</f>
        <v/>
      </c>
      <c r="C3">
        <f>IFERROR('02_Income_Raw'!C$4,)</f>
        <v/>
      </c>
      <c r="D3">
        <f>IFERROR('02_Income_Raw'!D$4,)</f>
        <v/>
      </c>
      <c r="E3">
        <f>IFERROR('02_Income_Raw'!E$4,)</f>
        <v/>
      </c>
      <c r="F3">
        <f>IFERROR('02_Income_Raw'!F$4,)</f>
        <v/>
      </c>
    </row>
    <row r="4">
      <c r="A4" t="inlineStr">
        <is>
          <t>Gross Profit</t>
        </is>
      </c>
      <c r="B4">
        <f>IFERROR('02_Income_Raw'!B$5,)</f>
        <v/>
      </c>
      <c r="C4">
        <f>IFERROR('02_Income_Raw'!C$5,)</f>
        <v/>
      </c>
      <c r="D4">
        <f>IFERROR('02_Income_Raw'!D$5,)</f>
        <v/>
      </c>
      <c r="E4">
        <f>IFERROR('02_Income_Raw'!E$5,)</f>
        <v/>
      </c>
      <c r="F4">
        <f>IFERROR('02_Income_Raw'!F$5,)</f>
        <v/>
      </c>
    </row>
    <row r="5">
      <c r="A5" t="inlineStr">
        <is>
          <t>Operating Expense</t>
        </is>
      </c>
      <c r="B5">
        <f>IFERROR('02_Income_Raw'!B$6,)</f>
        <v/>
      </c>
      <c r="C5">
        <f>IFERROR('02_Income_Raw'!C$6,)</f>
        <v/>
      </c>
      <c r="D5">
        <f>IFERROR('02_Income_Raw'!D$6,)</f>
        <v/>
      </c>
      <c r="E5">
        <f>IFERROR('02_Income_Raw'!E$6,)</f>
        <v/>
      </c>
      <c r="F5">
        <f>IFERROR('02_Income_Raw'!F$6,)</f>
        <v/>
      </c>
    </row>
    <row r="6">
      <c r="A6" t="inlineStr">
        <is>
          <t>Operating Income</t>
        </is>
      </c>
      <c r="B6">
        <f>IFERROR('02_Income_Raw'!B$9,)</f>
        <v/>
      </c>
      <c r="C6">
        <f>IFERROR('02_Income_Raw'!C$9,)</f>
        <v/>
      </c>
      <c r="D6">
        <f>IFERROR('02_Income_Raw'!D$9,)</f>
        <v/>
      </c>
      <c r="E6">
        <f>IFERROR('02_Income_Raw'!E$9,)</f>
        <v/>
      </c>
      <c r="F6">
        <f>IFERROR('02_Income_Raw'!F$9,)</f>
        <v/>
      </c>
    </row>
    <row r="7">
      <c r="A7" t="inlineStr">
        <is>
          <t>EBITDA</t>
        </is>
      </c>
      <c r="B7">
        <f>IFERROR('02_Income_Raw'!B$10,)</f>
        <v/>
      </c>
      <c r="C7">
        <f>IFERROR('02_Income_Raw'!C$10,)</f>
        <v/>
      </c>
      <c r="D7">
        <f>IFERROR('02_Income_Raw'!D$10,)</f>
        <v/>
      </c>
      <c r="E7">
        <f>IFERROR('02_Income_Raw'!E$10,)</f>
        <v/>
      </c>
      <c r="F7">
        <f>IFERROR('02_Income_Raw'!F$10,)</f>
        <v/>
      </c>
    </row>
    <row r="8">
      <c r="A8" t="inlineStr">
        <is>
          <t>Net Income</t>
        </is>
      </c>
      <c r="B8">
        <f>IFERROR('02_Income_Raw'!B$16,)</f>
        <v/>
      </c>
      <c r="C8">
        <f>IFERROR('02_Income_Raw'!C$16,)</f>
        <v/>
      </c>
      <c r="D8">
        <f>IFERROR('02_Income_Raw'!D$16,)</f>
        <v/>
      </c>
      <c r="E8">
        <f>IFERROR('02_Income_Raw'!E$16,)</f>
        <v/>
      </c>
      <c r="F8">
        <f>IFERROR('02_Income_Raw'!F$16,)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Gross Margin %</t>
        </is>
      </c>
      <c r="B2">
        <f>IFERROR(IF('02_Income_Raw'!B$2=0,"",'02_Income_Raw'!B$5/'02_Income_Raw'!B$2*100),"")</f>
        <v/>
      </c>
      <c r="C2">
        <f>IFERROR(IF('02_Income_Raw'!C$2=0,"",'02_Income_Raw'!C$5/'02_Income_Raw'!C$2*100),"")</f>
        <v/>
      </c>
      <c r="D2">
        <f>IFERROR(IF('02_Income_Raw'!D$2=0,"",'02_Income_Raw'!D$5/'02_Income_Raw'!D$2*100),"")</f>
        <v/>
      </c>
      <c r="E2">
        <f>IFERROR(IF('02_Income_Raw'!E$2=0,"",'02_Income_Raw'!E$5/'02_Income_Raw'!E$2*100),"")</f>
        <v/>
      </c>
      <c r="F2">
        <f>IFERROR(IF('02_Income_Raw'!F$2=0,"",'02_Income_Raw'!F$5/'02_Income_Raw'!F$2*100),"")</f>
        <v/>
      </c>
    </row>
    <row r="3">
      <c r="A3" t="inlineStr">
        <is>
          <t>Operating Margin %</t>
        </is>
      </c>
      <c r="B3">
        <f>IFERROR(IF('02_Income_Raw'!B$2=0,"",'02_Income_Raw'!B$9/'02_Income_Raw'!B$2*100),"")</f>
        <v/>
      </c>
      <c r="C3">
        <f>IFERROR(IF('02_Income_Raw'!C$2=0,"",'02_Income_Raw'!C$9/'02_Income_Raw'!C$2*100),"")</f>
        <v/>
      </c>
      <c r="D3">
        <f>IFERROR(IF('02_Income_Raw'!D$2=0,"",'02_Income_Raw'!D$9/'02_Income_Raw'!D$2*100),"")</f>
        <v/>
      </c>
      <c r="E3">
        <f>IFERROR(IF('02_Income_Raw'!E$2=0,"",'02_Income_Raw'!E$9/'02_Income_Raw'!E$2*100),"")</f>
        <v/>
      </c>
      <c r="F3">
        <f>IFERROR(IF('02_Income_Raw'!F$2=0,"",'02_Income_Raw'!F$9/'02_Income_Raw'!F$2*100),"")</f>
        <v/>
      </c>
    </row>
    <row r="4">
      <c r="A4" t="inlineStr">
        <is>
          <t>Net Margin %</t>
        </is>
      </c>
      <c r="B4">
        <f>IFERROR(IF('02_Income_Raw'!B$2=0,"",'02_Income_Raw'!B$16/'02_Income_Raw'!B$2*100),"")</f>
        <v/>
      </c>
      <c r="C4">
        <f>IFERROR(IF('02_Income_Raw'!C$2=0,"",'02_Income_Raw'!C$16/'02_Income_Raw'!C$2*100),"")</f>
        <v/>
      </c>
      <c r="D4">
        <f>IFERROR(IF('02_Income_Raw'!D$2=0,"",'02_Income_Raw'!D$16/'02_Income_Raw'!D$2*100),"")</f>
        <v/>
      </c>
      <c r="E4">
        <f>IFERROR(IF('02_Income_Raw'!E$2=0,"",'02_Income_Raw'!E$16/'02_Income_Raw'!E$2*100),"")</f>
        <v/>
      </c>
      <c r="F4">
        <f>IFERROR(IF('02_Income_Raw'!F$2=0,"",'02_Income_Raw'!F$16/'02_Income_Raw'!F$2*100),"")</f>
        <v/>
      </c>
    </row>
    <row r="5">
      <c r="A5" t="inlineStr">
        <is>
          <t>EBITDA Margin %</t>
        </is>
      </c>
      <c r="B5">
        <f>IFERROR(IF('02_Income_Raw'!B$2=0,"",'02_Income_Raw'!B$10/'02_Income_Raw'!B$2*100),"")</f>
        <v/>
      </c>
      <c r="C5">
        <f>IFERROR(IF('02_Income_Raw'!C$2=0,"",'02_Income_Raw'!C$10/'02_Income_Raw'!C$2*100),"")</f>
        <v/>
      </c>
      <c r="D5">
        <f>IFERROR(IF('02_Income_Raw'!D$2=0,"",'02_Income_Raw'!D$10/'02_Income_Raw'!D$2*100),"")</f>
        <v/>
      </c>
      <c r="E5">
        <f>IFERROR(IF('02_Income_Raw'!E$2=0,"",'02_Income_Raw'!E$10/'02_Income_Raw'!E$2*100),"")</f>
        <v/>
      </c>
      <c r="F5">
        <f>IFERROR(IF('02_Income_Raw'!F$2=0,"",'02_Income_Raw'!F$10/'02_Income_Raw'!F$2*100),"")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Total Revenue YoY %</t>
        </is>
      </c>
      <c r="B2">
        <f>""</f>
        <v/>
      </c>
      <c r="C2">
        <f>IFERROR(IF('02_Income_Raw'!B$2=0,"",('02_Income_Raw'!C$2/'02_Income_Raw'!B$2-1)*100),"")</f>
        <v/>
      </c>
      <c r="D2">
        <f>IFERROR(IF('02_Income_Raw'!C$2=0,"",('02_Income_Raw'!D$2/'02_Income_Raw'!C$2-1)*100),"")</f>
        <v/>
      </c>
      <c r="E2">
        <f>IFERROR(IF('02_Income_Raw'!D$2=0,"",('02_Income_Raw'!E$2/'02_Income_Raw'!D$2-1)*100),"")</f>
        <v/>
      </c>
      <c r="F2">
        <f>IFERROR(IF('02_Income_Raw'!E$2=0,"",('02_Income_Raw'!F$2/'02_Income_Raw'!E$2-1)*100),"")</f>
        <v/>
      </c>
    </row>
    <row r="3">
      <c r="A3" t="inlineStr">
        <is>
          <t>Cost Of Revenue YoY %</t>
        </is>
      </c>
      <c r="B3">
        <f>""</f>
        <v/>
      </c>
      <c r="C3">
        <f>IFERROR(IF('02_Income_Raw'!B$4=0,"",('02_Income_Raw'!C$4/'02_Income_Raw'!B$4-1)*100),"")</f>
        <v/>
      </c>
      <c r="D3">
        <f>IFERROR(IF('02_Income_Raw'!C$4=0,"",('02_Income_Raw'!D$4/'02_Income_Raw'!C$4-1)*100),"")</f>
        <v/>
      </c>
      <c r="E3">
        <f>IFERROR(IF('02_Income_Raw'!D$4=0,"",('02_Income_Raw'!E$4/'02_Income_Raw'!D$4-1)*100),"")</f>
        <v/>
      </c>
      <c r="F3">
        <f>IFERROR(IF('02_Income_Raw'!E$4=0,"",('02_Income_Raw'!F$4/'02_Income_Raw'!E$4-1)*100),"")</f>
        <v/>
      </c>
    </row>
    <row r="4">
      <c r="A4" t="inlineStr">
        <is>
          <t>Gross Profit YoY %</t>
        </is>
      </c>
      <c r="B4">
        <f>""</f>
        <v/>
      </c>
      <c r="C4">
        <f>IFERROR(IF('02_Income_Raw'!B$5=0,"",('02_Income_Raw'!C$5/'02_Income_Raw'!B$5-1)*100),"")</f>
        <v/>
      </c>
      <c r="D4">
        <f>IFERROR(IF('02_Income_Raw'!C$5=0,"",('02_Income_Raw'!D$5/'02_Income_Raw'!C$5-1)*100),"")</f>
        <v/>
      </c>
      <c r="E4">
        <f>IFERROR(IF('02_Income_Raw'!D$5=0,"",('02_Income_Raw'!E$5/'02_Income_Raw'!D$5-1)*100),"")</f>
        <v/>
      </c>
      <c r="F4">
        <f>IFERROR(IF('02_Income_Raw'!E$5=0,"",('02_Income_Raw'!F$5/'02_Income_Raw'!E$5-1)*100),"")</f>
        <v/>
      </c>
    </row>
    <row r="5">
      <c r="A5" t="inlineStr">
        <is>
          <t>Operating Expense YoY %</t>
        </is>
      </c>
      <c r="B5">
        <f>""</f>
        <v/>
      </c>
      <c r="C5">
        <f>IFERROR(IF('02_Income_Raw'!B$6=0,"",('02_Income_Raw'!C$6/'02_Income_Raw'!B$6-1)*100),"")</f>
        <v/>
      </c>
      <c r="D5">
        <f>IFERROR(IF('02_Income_Raw'!C$6=0,"",('02_Income_Raw'!D$6/'02_Income_Raw'!C$6-1)*100),"")</f>
        <v/>
      </c>
      <c r="E5">
        <f>IFERROR(IF('02_Income_Raw'!D$6=0,"",('02_Income_Raw'!E$6/'02_Income_Raw'!D$6-1)*100),"")</f>
        <v/>
      </c>
      <c r="F5">
        <f>IFERROR(IF('02_Income_Raw'!E$6=0,"",('02_Income_Raw'!F$6/'02_Income_Raw'!E$6-1)*100),"")</f>
        <v/>
      </c>
    </row>
    <row r="6">
      <c r="A6" t="inlineStr">
        <is>
          <t>Operating Income YoY %</t>
        </is>
      </c>
      <c r="B6">
        <f>""</f>
        <v/>
      </c>
      <c r="C6">
        <f>IFERROR(IF('02_Income_Raw'!B$9=0,"",('02_Income_Raw'!C$9/'02_Income_Raw'!B$9-1)*100),"")</f>
        <v/>
      </c>
      <c r="D6">
        <f>IFERROR(IF('02_Income_Raw'!C$9=0,"",('02_Income_Raw'!D$9/'02_Income_Raw'!C$9-1)*100),"")</f>
        <v/>
      </c>
      <c r="E6">
        <f>IFERROR(IF('02_Income_Raw'!D$9=0,"",('02_Income_Raw'!E$9/'02_Income_Raw'!D$9-1)*100),"")</f>
        <v/>
      </c>
      <c r="F6">
        <f>IFERROR(IF('02_Income_Raw'!E$9=0,"",('02_Income_Raw'!F$9/'02_Income_Raw'!E$9-1)*100),"")</f>
        <v/>
      </c>
    </row>
    <row r="7">
      <c r="A7" t="inlineStr">
        <is>
          <t>Net Income YoY %</t>
        </is>
      </c>
      <c r="B7">
        <f>""</f>
        <v/>
      </c>
      <c r="C7">
        <f>IFERROR(IF('02_Income_Raw'!B$16=0,"",('02_Income_Raw'!C$16/'02_Income_Raw'!B$16-1)*100),"")</f>
        <v/>
      </c>
      <c r="D7">
        <f>IFERROR(IF('02_Income_Raw'!C$16=0,"",('02_Income_Raw'!D$16/'02_Income_Raw'!C$16-1)*100),"")</f>
        <v/>
      </c>
      <c r="E7">
        <f>IFERROR(IF('02_Income_Raw'!D$16=0,"",('02_Income_Raw'!E$16/'02_Income_Raw'!D$16-1)*100),"")</f>
        <v/>
      </c>
      <c r="F7">
        <f>IFERROR(IF('02_Income_Raw'!E$16=0,"",('02_Income_Raw'!F$16/'02_Income_Raw'!E$16-1)*100),"")</f>
        <v/>
      </c>
    </row>
    <row r="8">
      <c r="A8" t="inlineStr">
        <is>
          <t>EBITDA YoY %</t>
        </is>
      </c>
      <c r="B8">
        <f>""</f>
        <v/>
      </c>
      <c r="C8">
        <f>IFERROR(IF('02_Income_Raw'!B$10=0,"",('02_Income_Raw'!C$10/'02_Income_Raw'!B$10-1)*100),"")</f>
        <v/>
      </c>
      <c r="D8">
        <f>IFERROR(IF('02_Income_Raw'!C$10=0,"",('02_Income_Raw'!D$10/'02_Income_Raw'!C$10-1)*100),"")</f>
        <v/>
      </c>
      <c r="E8">
        <f>IFERROR(IF('02_Income_Raw'!D$10=0,"",('02_Income_Raw'!E$10/'02_Income_Raw'!D$10-1)*100),"")</f>
        <v/>
      </c>
      <c r="F8">
        <f>IFERROR(IF('02_Income_Raw'!E$10=0,"",('02_Income_Raw'!F$10/'02_Income_Raw'!E$10-1)*100),"")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COGS % of Revenue</t>
        </is>
      </c>
      <c r="B2">
        <f>IFERROR(IF('02_Income_Raw'!B$2=0,"",'02_Income_Raw'!B$4/'02_Income_Raw'!B$2*100),"")</f>
        <v/>
      </c>
      <c r="C2">
        <f>IFERROR(IF('02_Income_Raw'!C$2=0,"",'02_Income_Raw'!C$4/'02_Income_Raw'!C$2*100),"")</f>
        <v/>
      </c>
      <c r="D2">
        <f>IFERROR(IF('02_Income_Raw'!D$2=0,"",'02_Income_Raw'!D$4/'02_Income_Raw'!D$2*100),"")</f>
        <v/>
      </c>
      <c r="E2">
        <f>IFERROR(IF('02_Income_Raw'!E$2=0,"",'02_Income_Raw'!E$4/'02_Income_Raw'!E$2*100),"")</f>
        <v/>
      </c>
      <c r="F2">
        <f>IFERROR(IF('02_Income_Raw'!F$2=0,"",'02_Income_Raw'!F$4/'02_Income_Raw'!F$2*100),"")</f>
        <v/>
      </c>
    </row>
    <row r="3">
      <c r="A3" t="inlineStr">
        <is>
          <t>OpEx % of Revenue</t>
        </is>
      </c>
      <c r="B3">
        <f>IFERROR(IF('02_Income_Raw'!B$2=0,"",'02_Income_Raw'!B$6/'02_Income_Raw'!B$2*100),"")</f>
        <v/>
      </c>
      <c r="C3">
        <f>IFERROR(IF('02_Income_Raw'!C$2=0,"",'02_Income_Raw'!C$6/'02_Income_Raw'!C$2*100),"")</f>
        <v/>
      </c>
      <c r="D3">
        <f>IFERROR(IF('02_Income_Raw'!D$2=0,"",'02_Income_Raw'!D$6/'02_Income_Raw'!D$2*100),"")</f>
        <v/>
      </c>
      <c r="E3">
        <f>IFERROR(IF('02_Income_Raw'!E$2=0,"",'02_Income_Raw'!E$6/'02_Income_Raw'!E$2*100),"")</f>
        <v/>
      </c>
      <c r="F3">
        <f>IFERROR(IF('02_Income_Raw'!F$2=0,"",'02_Income_Raw'!F$6/'02_Income_Raw'!F$2*100),"")</f>
        <v/>
      </c>
    </row>
    <row r="4">
      <c r="A4" t="inlineStr">
        <is>
          <t>R&amp;D % of Revenue</t>
        </is>
      </c>
      <c r="B4">
        <f>IFERROR(IF('02_Income_Raw'!B$2=0,"",'02_Income_Raw'!B$7/'02_Income_Raw'!B$2*100),"")</f>
        <v/>
      </c>
      <c r="C4">
        <f>IFERROR(IF('02_Income_Raw'!C$2=0,"",'02_Income_Raw'!C$7/'02_Income_Raw'!C$2*100),"")</f>
        <v/>
      </c>
      <c r="D4">
        <f>IFERROR(IF('02_Income_Raw'!D$2=0,"",'02_Income_Raw'!D$7/'02_Income_Raw'!D$2*100),"")</f>
        <v/>
      </c>
      <c r="E4">
        <f>IFERROR(IF('02_Income_Raw'!E$2=0,"",'02_Income_Raw'!E$7/'02_Income_Raw'!E$2*100),"")</f>
        <v/>
      </c>
      <c r="F4">
        <f>IFERROR(IF('02_Income_Raw'!F$2=0,"",'02_Income_Raw'!F$7/'02_Income_Raw'!F$2*100),"")</f>
        <v/>
      </c>
    </row>
    <row r="5">
      <c r="A5" t="inlineStr">
        <is>
          <t>SG&amp;A % of Revenue</t>
        </is>
      </c>
      <c r="B5">
        <f>IFERROR(IF('02_Income_Raw'!B$2=0,"",'02_Income_Raw'!B$8/'02_Income_Raw'!B$2*100),"")</f>
        <v/>
      </c>
      <c r="C5">
        <f>IFERROR(IF('02_Income_Raw'!C$2=0,"",'02_Income_Raw'!C$8/'02_Income_Raw'!C$2*100),"")</f>
        <v/>
      </c>
      <c r="D5">
        <f>IFERROR(IF('02_Income_Raw'!D$2=0,"",'02_Income_Raw'!D$8/'02_Income_Raw'!D$2*100),"")</f>
        <v/>
      </c>
      <c r="E5">
        <f>IFERROR(IF('02_Income_Raw'!E$2=0,"",'02_Income_Raw'!E$8/'02_Income_Raw'!E$2*100),"")</f>
        <v/>
      </c>
      <c r="F5">
        <f>IFERROR(IF('02_Income_Raw'!F$2=0,"",'02_Income_Raw'!F$8/'02_Income_Raw'!F$2*100),"")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n">
        <v>2022</v>
      </c>
      <c r="C1" t="n">
        <v>2023</v>
      </c>
      <c r="D1" t="n">
        <v>2024</v>
      </c>
      <c r="E1" t="n">
        <v>2025</v>
      </c>
    </row>
    <row r="2">
      <c r="A2" t="inlineStr">
        <is>
          <t>Revenue Volume</t>
        </is>
      </c>
      <c r="B2">
        <f>IFERROR(('02_Income_Raw'!C$2-'02_Income_Raw'!B$2)*IF('02_Income_Raw'!B$2=0,0,'02_Income_Raw'!B$5/'02_Income_Raw'!B$2),0)</f>
        <v/>
      </c>
      <c r="C2">
        <f>IFERROR(('02_Income_Raw'!D$2-'02_Income_Raw'!C$2)*IF('02_Income_Raw'!C$2=0,0,'02_Income_Raw'!C$5/'02_Income_Raw'!C$2),0)</f>
        <v/>
      </c>
      <c r="D2">
        <f>IFERROR(('02_Income_Raw'!E$2-'02_Income_Raw'!D$2)*IF('02_Income_Raw'!D$2=0,0,'02_Income_Raw'!D$5/'02_Income_Raw'!D$2),0)</f>
        <v/>
      </c>
      <c r="E2">
        <f>IFERROR(('02_Income_Raw'!F$2-'02_Income_Raw'!E$2)*IF('02_Income_Raw'!E$2=0,0,'02_Income_Raw'!E$5/'02_Income_Raw'!E$2),0)</f>
        <v/>
      </c>
    </row>
    <row r="3">
      <c r="A3" t="inlineStr">
        <is>
          <t>Margin / Mix</t>
        </is>
      </c>
      <c r="B3">
        <f>IFERROR(IF(OR('02_Income_Raw'!C$2=0,'02_Income_Raw'!B$2=0),0,'02_Income_Raw'!C$2*('02_Income_Raw'!C$5/'02_Income_Raw'!C$2-'02_Income_Raw'!B$5/'02_Income_Raw'!B$2)),0)</f>
        <v/>
      </c>
      <c r="C3">
        <f>IFERROR(IF(OR('02_Income_Raw'!D$2=0,'02_Income_Raw'!C$2=0),0,'02_Income_Raw'!D$2*('02_Income_Raw'!D$5/'02_Income_Raw'!D$2-'02_Income_Raw'!C$5/'02_Income_Raw'!C$2)),0)</f>
        <v/>
      </c>
      <c r="D3">
        <f>IFERROR(IF(OR('02_Income_Raw'!E$2=0,'02_Income_Raw'!D$2=0),0,'02_Income_Raw'!E$2*('02_Income_Raw'!E$5/'02_Income_Raw'!E$2-'02_Income_Raw'!D$5/'02_Income_Raw'!D$2)),0)</f>
        <v/>
      </c>
      <c r="E3">
        <f>IFERROR(IF(OR('02_Income_Raw'!F$2=0,'02_Income_Raw'!E$2=0),0,'02_Income_Raw'!F$2*('02_Income_Raw'!F$5/'02_Income_Raw'!F$2-'02_Income_Raw'!E$5/'02_Income_Raw'!E$2)),0)</f>
        <v/>
      </c>
    </row>
    <row r="4">
      <c r="A4" t="inlineStr">
        <is>
          <t>OpEx Change</t>
        </is>
      </c>
      <c r="B4">
        <f>IFERROR(('02_Income_Raw'!C$9-'02_Income_Raw'!B$9)-('02_Income_Raw'!C$5-'02_Income_Raw'!B$5),0)</f>
        <v/>
      </c>
      <c r="C4">
        <f>IFERROR(('02_Income_Raw'!D$9-'02_Income_Raw'!C$9)-('02_Income_Raw'!D$5-'02_Income_Raw'!C$5),0)</f>
        <v/>
      </c>
      <c r="D4">
        <f>IFERROR(('02_Income_Raw'!E$9-'02_Income_Raw'!D$9)-('02_Income_Raw'!E$5-'02_Income_Raw'!D$5),0)</f>
        <v/>
      </c>
      <c r="E4">
        <f>IFERROR(('02_Income_Raw'!F$9-'02_Income_Raw'!E$9)-('02_Income_Raw'!F$5-'02_Income_Raw'!E$5),0)</f>
        <v/>
      </c>
    </row>
    <row r="5">
      <c r="A5" t="inlineStr">
        <is>
          <t>Below-the-Line</t>
        </is>
      </c>
      <c r="B5">
        <f>IFERROR(('02_Income_Raw'!C$16-'02_Income_Raw'!B$16)-('02_Income_Raw'!C$9-'02_Income_Raw'!B$9),0)</f>
        <v/>
      </c>
      <c r="C5">
        <f>IFERROR(('02_Income_Raw'!D$16-'02_Income_Raw'!C$16)-('02_Income_Raw'!D$9-'02_Income_Raw'!C$9),0)</f>
        <v/>
      </c>
      <c r="D5">
        <f>IFERROR(('02_Income_Raw'!E$16-'02_Income_Raw'!D$16)-('02_Income_Raw'!E$9-'02_Income_Raw'!D$9),0)</f>
        <v/>
      </c>
      <c r="E5">
        <f>IFERROR(('02_Income_Raw'!F$16-'02_Income_Raw'!E$16)-('02_Income_Raw'!F$9-'02_Income_Raw'!E$9),0)</f>
        <v/>
      </c>
    </row>
    <row r="6">
      <c r="A6" t="inlineStr">
        <is>
          <t>Total Δ Net Income</t>
        </is>
      </c>
      <c r="B6">
        <f>IFERROR('02_Income_Raw'!C$16-'02_Income_Raw'!B$16,0)</f>
        <v/>
      </c>
      <c r="C6">
        <f>IFERROR('02_Income_Raw'!D$16-'02_Income_Raw'!C$16,0)</f>
        <v/>
      </c>
      <c r="D6">
        <f>IFERROR('02_Income_Raw'!E$16-'02_Income_Raw'!D$16,0)</f>
        <v/>
      </c>
      <c r="E6">
        <f>IFERROR('02_Income_Raw'!F$16-'02_Income_Raw'!E$16,0)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Operating Cash Flow</t>
        </is>
      </c>
      <c r="B2">
        <f>IFERROR('04_CashFlow_Raw'!B$37,0)</f>
        <v/>
      </c>
      <c r="C2">
        <f>IFERROR('04_CashFlow_Raw'!C$37,0)</f>
        <v/>
      </c>
      <c r="D2">
        <f>IFERROR('04_CashFlow_Raw'!D$37,0)</f>
        <v/>
      </c>
      <c r="E2">
        <f>IFERROR('04_CashFlow_Raw'!E$37,0)</f>
        <v/>
      </c>
      <c r="F2">
        <f>IFERROR('04_CashFlow_Raw'!F$37,0)</f>
        <v/>
      </c>
    </row>
    <row r="3">
      <c r="A3" t="inlineStr">
        <is>
          <t>Capital Expenditure</t>
        </is>
      </c>
      <c r="B3">
        <f>IFERROR(ABS('04_CashFlow_Raw'!B$6),0)</f>
        <v/>
      </c>
      <c r="C3">
        <f>IFERROR(ABS('04_CashFlow_Raw'!C$6),0)</f>
        <v/>
      </c>
      <c r="D3">
        <f>IFERROR(ABS('04_CashFlow_Raw'!D$6),0)</f>
        <v/>
      </c>
      <c r="E3">
        <f>IFERROR(ABS('04_CashFlow_Raw'!E$6),0)</f>
        <v/>
      </c>
      <c r="F3">
        <f>IFERROR(ABS('04_CashFlow_Raw'!F$6),0)</f>
        <v/>
      </c>
    </row>
    <row r="4">
      <c r="A4" t="inlineStr">
        <is>
          <t>Free Cash Flow</t>
        </is>
      </c>
      <c r="B4">
        <f>IFERROR(IF('04_CashFlow_Raw'!B$2=0,'04_CashFlow_Raw'!B$37-ABS('04_CashFlow_Raw'!B$6),'04_CashFlow_Raw'!B$2),0)</f>
        <v/>
      </c>
      <c r="C4">
        <f>IFERROR(IF('04_CashFlow_Raw'!C$2=0,'04_CashFlow_Raw'!C$37-ABS('04_CashFlow_Raw'!C$6),'04_CashFlow_Raw'!C$2),0)</f>
        <v/>
      </c>
      <c r="D4">
        <f>IFERROR(IF('04_CashFlow_Raw'!D$2=0,'04_CashFlow_Raw'!D$37-ABS('04_CashFlow_Raw'!D$6),'04_CashFlow_Raw'!D$2),0)</f>
        <v/>
      </c>
      <c r="E4">
        <f>IFERROR(IF('04_CashFlow_Raw'!E$2=0,'04_CashFlow_Raw'!E$37-ABS('04_CashFlow_Raw'!E$6),'04_CashFlow_Raw'!E$2),0)</f>
        <v/>
      </c>
      <c r="F4">
        <f>IFERROR(IF('04_CashFlow_Raw'!F$2=0,'04_CashFlow_Raw'!F$37-ABS('04_CashFlow_Raw'!F$6),'04_CashFlow_Raw'!F$2),0)</f>
        <v/>
      </c>
    </row>
    <row r="5">
      <c r="A5" t="inlineStr">
        <is>
          <t>FCF Margin %</t>
        </is>
      </c>
      <c r="B5">
        <f>IFERROR(IF('02_Income_Raw'!B$2=0,"",(IFERROR(IF('04_CashFlow_Raw'!B$2=0,'04_CashFlow_Raw'!B$37-ABS('04_CashFlow_Raw'!B$6),'04_CashFlow_Raw'!B$2),0))/'02_Income_Raw'!B$2*100),"")</f>
        <v/>
      </c>
      <c r="C5">
        <f>IFERROR(IF('02_Income_Raw'!C$2=0,"",(IFERROR(IF('04_CashFlow_Raw'!C$2=0,'04_CashFlow_Raw'!C$37-ABS('04_CashFlow_Raw'!C$6),'04_CashFlow_Raw'!C$2),0))/'02_Income_Raw'!C$2*100),"")</f>
        <v/>
      </c>
      <c r="D5">
        <f>IFERROR(IF('02_Income_Raw'!D$2=0,"",(IFERROR(IF('04_CashFlow_Raw'!D$2=0,'04_CashFlow_Raw'!D$37-ABS('04_CashFlow_Raw'!D$6),'04_CashFlow_Raw'!D$2),0))/'02_Income_Raw'!D$2*100),"")</f>
        <v/>
      </c>
      <c r="E5">
        <f>IFERROR(IF('02_Income_Raw'!E$2=0,"",(IFERROR(IF('04_CashFlow_Raw'!E$2=0,'04_CashFlow_Raw'!E$37-ABS('04_CashFlow_Raw'!E$6),'04_CashFlow_Raw'!E$2),0))/'02_Income_Raw'!E$2*100),"")</f>
        <v/>
      </c>
      <c r="F5">
        <f>IFERROR(IF('02_Income_Raw'!F$2=0,"",(IFERROR(IF('04_CashFlow_Raw'!F$2=0,'04_CashFlow_Raw'!F$37-ABS('04_CashFlow_Raw'!F$6),'04_CashFlow_Raw'!F$2),0))/'02_Income_Raw'!F$2*100),"")</f>
        <v/>
      </c>
    </row>
    <row r="6">
      <c r="A6" t="inlineStr">
        <is>
          <t>CapEx % of Revenue</t>
        </is>
      </c>
      <c r="B6">
        <f>IFERROR(IF('02_Income_Raw'!B$2=0,"",ABS('04_CashFlow_Raw'!B$6)/'02_Income_Raw'!B$2*100),"")</f>
        <v/>
      </c>
      <c r="C6">
        <f>IFERROR(IF('02_Income_Raw'!C$2=0,"",ABS('04_CashFlow_Raw'!C$6)/'02_Income_Raw'!C$2*100),"")</f>
        <v/>
      </c>
      <c r="D6">
        <f>IFERROR(IF('02_Income_Raw'!D$2=0,"",ABS('04_CashFlow_Raw'!D$6)/'02_Income_Raw'!D$2*100),"")</f>
        <v/>
      </c>
      <c r="E6">
        <f>IFERROR(IF('02_Income_Raw'!E$2=0,"",ABS('04_CashFlow_Raw'!E$6)/'02_Income_Raw'!E$2*100),"")</f>
        <v/>
      </c>
      <c r="F6">
        <f>IFERROR(IF('02_Income_Raw'!F$2=0,"",ABS('04_CashFlow_Raw'!F$6)/'02_Income_Raw'!F$2*100),"")</f>
        <v/>
      </c>
    </row>
    <row r="7">
      <c r="A7" t="inlineStr">
        <is>
          <t>OCF / Net Income</t>
        </is>
      </c>
      <c r="B7">
        <f>IFERROR(IF('02_Income_Raw'!B$16=0,"",'04_CashFlow_Raw'!B$37/'02_Income_Raw'!B$16),"")</f>
        <v/>
      </c>
      <c r="C7">
        <f>IFERROR(IF('02_Income_Raw'!C$16=0,"",'04_CashFlow_Raw'!C$37/'02_Income_Raw'!C$16),"")</f>
        <v/>
      </c>
      <c r="D7">
        <f>IFERROR(IF('02_Income_Raw'!D$16=0,"",'04_CashFlow_Raw'!D$37/'02_Income_Raw'!D$16),"")</f>
        <v/>
      </c>
      <c r="E7">
        <f>IFERROR(IF('02_Income_Raw'!E$16=0,"",'04_CashFlow_Raw'!E$37/'02_Income_Raw'!E$16),"")</f>
        <v/>
      </c>
      <c r="F7">
        <f>IFERROR(IF('02_Income_Raw'!F$16=0,"",'04_CashFlow_Raw'!F$37/'02_Income_Raw'!F$16),"")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Working Capital</t>
        </is>
      </c>
      <c r="B2">
        <f>IFERROR('03_Balance_Raw'!B$8,0)</f>
        <v/>
      </c>
      <c r="C2">
        <f>IFERROR('03_Balance_Raw'!C$8,0)</f>
        <v/>
      </c>
      <c r="D2">
        <f>IFERROR('03_Balance_Raw'!D$8,0)</f>
        <v/>
      </c>
      <c r="E2">
        <f>IFERROR('03_Balance_Raw'!E$8,0)</f>
        <v/>
      </c>
      <c r="F2">
        <f>IFERROR('03_Balance_Raw'!F$8,0)</f>
        <v/>
      </c>
    </row>
    <row r="3">
      <c r="A3" t="inlineStr">
        <is>
          <t>WC % of Revenue</t>
        </is>
      </c>
      <c r="B3">
        <f>IFERROR(IF('02_Income_Raw'!B$2=0,"",'03_Balance_Raw'!B$8/'02_Income_Raw'!B$2*100),"")</f>
        <v/>
      </c>
      <c r="C3">
        <f>IFERROR(IF('02_Income_Raw'!C$2=0,"",'03_Balance_Raw'!C$8/'02_Income_Raw'!C$2*100),"")</f>
        <v/>
      </c>
      <c r="D3">
        <f>IFERROR(IF('02_Income_Raw'!D$2=0,"",'03_Balance_Raw'!D$8/'02_Income_Raw'!D$2*100),"")</f>
        <v/>
      </c>
      <c r="E3">
        <f>IFERROR(IF('02_Income_Raw'!E$2=0,"",'03_Balance_Raw'!E$8/'02_Income_Raw'!E$2*100),"")</f>
        <v/>
      </c>
      <c r="F3">
        <f>IFERROR(IF('02_Income_Raw'!F$2=0,"",'03_Balance_Raw'!F$8/'02_Income_Raw'!F$2*100),"")</f>
        <v/>
      </c>
    </row>
    <row r="4">
      <c r="A4" t="inlineStr">
        <is>
          <t>Δ Working Capital</t>
        </is>
      </c>
      <c r="B4">
        <f>""</f>
        <v/>
      </c>
      <c r="C4">
        <f>IFERROR('03_Balance_Raw'!C$8-'03_Balance_Raw'!B$8,"")</f>
        <v/>
      </c>
      <c r="D4">
        <f>IFERROR('03_Balance_Raw'!D$8-'03_Balance_Raw'!C$8,"")</f>
        <v/>
      </c>
      <c r="E4">
        <f>IFERROR('03_Balance_Raw'!E$8-'03_Balance_Raw'!D$8,"")</f>
        <v/>
      </c>
      <c r="F4">
        <f>IFERROR('03_Balance_Raw'!F$8-'03_Balance_Raw'!E$8,"")</f>
        <v/>
      </c>
    </row>
    <row r="5">
      <c r="A5" t="inlineStr">
        <is>
          <t>DSO (days)</t>
        </is>
      </c>
      <c r="B5">
        <f>IFERROR(IF('02_Income_Raw'!B$2=0,"",'03_Balance_Raw'!B$77/'02_Income_Raw'!B$2*365),"")</f>
        <v/>
      </c>
      <c r="C5">
        <f>IFERROR(IF('02_Income_Raw'!C$2=0,"",'03_Balance_Raw'!C$77/'02_Income_Raw'!C$2*365),"")</f>
        <v/>
      </c>
      <c r="D5">
        <f>IFERROR(IF('02_Income_Raw'!D$2=0,"",'03_Balance_Raw'!D$77/'02_Income_Raw'!D$2*365),"")</f>
        <v/>
      </c>
      <c r="E5">
        <f>IFERROR(IF('02_Income_Raw'!E$2=0,"",'03_Balance_Raw'!E$77/'02_Income_Raw'!E$2*365),"")</f>
        <v/>
      </c>
      <c r="F5">
        <f>IFERROR(IF('02_Income_Raw'!F$2=0,"",'03_Balance_Raw'!F$77/'02_Income_Raw'!F$2*365),"")</f>
        <v/>
      </c>
    </row>
    <row r="6">
      <c r="A6" t="inlineStr">
        <is>
          <t>DIO (days)</t>
        </is>
      </c>
      <c r="B6">
        <f>IFERROR(IF('02_Income_Raw'!B$4=0,"",'03_Balance_Raw'!B$71/'02_Income_Raw'!B$4*365),"")</f>
        <v/>
      </c>
      <c r="C6">
        <f>IFERROR(IF('02_Income_Raw'!C$4=0,"",'03_Balance_Raw'!C$71/'02_Income_Raw'!C$4*365),"")</f>
        <v/>
      </c>
      <c r="D6">
        <f>IFERROR(IF('02_Income_Raw'!D$4=0,"",'03_Balance_Raw'!D$71/'02_Income_Raw'!D$4*365),"")</f>
        <v/>
      </c>
      <c r="E6">
        <f>IFERROR(IF('02_Income_Raw'!E$4=0,"",'03_Balance_Raw'!E$71/'02_Income_Raw'!E$4*365),"")</f>
        <v/>
      </c>
      <c r="F6">
        <f>IFERROR(IF('02_Income_Raw'!F$4=0,"",'03_Balance_Raw'!F$71/'02_Income_Raw'!F$4*365),"")</f>
        <v/>
      </c>
    </row>
    <row r="7">
      <c r="A7" t="inlineStr">
        <is>
          <t>DPO (days)</t>
        </is>
      </c>
      <c r="B7">
        <f>IFERROR(IF('02_Income_Raw'!B$4=0,"",'03_Balance_Raw'!B$50/'02_Income_Raw'!B$4*365),"")</f>
        <v/>
      </c>
      <c r="C7">
        <f>IFERROR(IF('02_Income_Raw'!C$4=0,"",'03_Balance_Raw'!C$50/'02_Income_Raw'!C$4*365),"")</f>
        <v/>
      </c>
      <c r="D7">
        <f>IFERROR(IF('02_Income_Raw'!D$4=0,"",'03_Balance_Raw'!D$50/'02_Income_Raw'!D$4*365),"")</f>
        <v/>
      </c>
      <c r="E7">
        <f>IFERROR(IF('02_Income_Raw'!E$4=0,"",'03_Balance_Raw'!E$50/'02_Income_Raw'!E$4*365),"")</f>
        <v/>
      </c>
      <c r="F7">
        <f>IFERROR(IF('02_Income_Raw'!F$4=0,"",'03_Balance_Raw'!F$50/'02_Income_Raw'!F$4*365),"")</f>
        <v/>
      </c>
    </row>
    <row r="8">
      <c r="A8" t="inlineStr">
        <is>
          <t>Cash Conversion Cycle</t>
        </is>
      </c>
      <c r="B8">
        <f>IFERROR(IFERROR(IF('02_Income_Raw'!B$2=0,0,'03_Balance_Raw'!B$77/'02_Income_Raw'!B$2*365),0)+IFERROR(IF('02_Income_Raw'!B$4=0,0,'03_Balance_Raw'!B$71/'02_Income_Raw'!B$4*365),0)-IFERROR(IF('02_Income_Raw'!B$4=0,0,'03_Balance_Raw'!B$50/'02_Income_Raw'!B$4*365),0),"")</f>
        <v/>
      </c>
      <c r="C8">
        <f>IFERROR(IFERROR(IF('02_Income_Raw'!C$2=0,0,'03_Balance_Raw'!C$77/'02_Income_Raw'!C$2*365),0)+IFERROR(IF('02_Income_Raw'!C$4=0,0,'03_Balance_Raw'!C$71/'02_Income_Raw'!C$4*365),0)-IFERROR(IF('02_Income_Raw'!C$4=0,0,'03_Balance_Raw'!C$50/'02_Income_Raw'!C$4*365),0),"")</f>
        <v/>
      </c>
      <c r="D8">
        <f>IFERROR(IFERROR(IF('02_Income_Raw'!D$2=0,0,'03_Balance_Raw'!D$77/'02_Income_Raw'!D$2*365),0)+IFERROR(IF('02_Income_Raw'!D$4=0,0,'03_Balance_Raw'!D$71/'02_Income_Raw'!D$4*365),0)-IFERROR(IF('02_Income_Raw'!D$4=0,0,'03_Balance_Raw'!D$50/'02_Income_Raw'!D$4*365),0),"")</f>
        <v/>
      </c>
      <c r="E8">
        <f>IFERROR(IFERROR(IF('02_Income_Raw'!E$2=0,0,'03_Balance_Raw'!E$77/'02_Income_Raw'!E$2*365),0)+IFERROR(IF('02_Income_Raw'!E$4=0,0,'03_Balance_Raw'!E$71/'02_Income_Raw'!E$4*365),0)-IFERROR(IF('02_Income_Raw'!E$4=0,0,'03_Balance_Raw'!E$50/'02_Income_Raw'!E$4*365),0),"")</f>
        <v/>
      </c>
      <c r="F8">
        <f>IFERROR(IFERROR(IF('02_Income_Raw'!F$2=0,0,'03_Balance_Raw'!F$77/'02_Income_Raw'!F$2*365),0)+IFERROR(IF('02_Income_Raw'!F$4=0,0,'03_Balance_Raw'!F$71/'02_Income_Raw'!F$4*365),0)-IFERROR(IF('02_Income_Raw'!F$4=0,0,'03_Balance_Raw'!F$50/'02_Income_Raw'!F$4*365),0),"")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ROE %</t>
        </is>
      </c>
      <c r="B2">
        <f>IFERROR((IFERROR('02_Income_Raw'!B$16/'02_Income_Raw'!B$2,0))*(IFERROR('02_Income_Raw'!B$2/'03_Balance_Raw'!B$51,0))*(IFERROR('03_Balance_Raw'!B$51/'03_Balance_Raw'!B$15,0))*100,"")</f>
        <v/>
      </c>
      <c r="C2">
        <f>IFERROR((IFERROR('02_Income_Raw'!C$16/'02_Income_Raw'!C$2,0))*(IFERROR('02_Income_Raw'!C$2/'03_Balance_Raw'!C$51,0))*(IFERROR('03_Balance_Raw'!C$51/'03_Balance_Raw'!C$15,0))*100,"")</f>
        <v/>
      </c>
      <c r="D2">
        <f>IFERROR((IFERROR('02_Income_Raw'!D$16/'02_Income_Raw'!D$2,0))*(IFERROR('02_Income_Raw'!D$2/'03_Balance_Raw'!D$51,0))*(IFERROR('03_Balance_Raw'!D$51/'03_Balance_Raw'!D$15,0))*100,"")</f>
        <v/>
      </c>
      <c r="E2">
        <f>IFERROR((IFERROR('02_Income_Raw'!E$16/'02_Income_Raw'!E$2,0))*(IFERROR('02_Income_Raw'!E$2/'03_Balance_Raw'!E$51,0))*(IFERROR('03_Balance_Raw'!E$51/'03_Balance_Raw'!E$15,0))*100,"")</f>
        <v/>
      </c>
      <c r="F2">
        <f>IFERROR((IFERROR('02_Income_Raw'!F$16/'02_Income_Raw'!F$2,0))*(IFERROR('02_Income_Raw'!F$2/'03_Balance_Raw'!F$51,0))*(IFERROR('03_Balance_Raw'!F$51/'03_Balance_Raw'!F$15,0))*100,"")</f>
        <v/>
      </c>
    </row>
    <row r="3">
      <c r="A3" t="inlineStr">
        <is>
          <t>ROA %</t>
        </is>
      </c>
      <c r="B3">
        <f>IFERROR(IF('03_Balance_Raw'!B$51=0,"",'02_Income_Raw'!B$16/'03_Balance_Raw'!B$51*100),"")</f>
        <v/>
      </c>
      <c r="C3">
        <f>IFERROR(IF('03_Balance_Raw'!C$51=0,"",'02_Income_Raw'!C$16/'03_Balance_Raw'!C$51*100),"")</f>
        <v/>
      </c>
      <c r="D3">
        <f>IFERROR(IF('03_Balance_Raw'!D$51=0,"",'02_Income_Raw'!D$16/'03_Balance_Raw'!D$51*100),"")</f>
        <v/>
      </c>
      <c r="E3">
        <f>IFERROR(IF('03_Balance_Raw'!E$51=0,"",'02_Income_Raw'!E$16/'03_Balance_Raw'!E$51*100),"")</f>
        <v/>
      </c>
      <c r="F3">
        <f>IFERROR(IF('03_Balance_Raw'!F$51=0,"",'02_Income_Raw'!F$16/'03_Balance_Raw'!F$51*100),"")</f>
        <v/>
      </c>
    </row>
    <row r="4">
      <c r="A4" t="inlineStr">
        <is>
          <t>ROIC %</t>
        </is>
      </c>
      <c r="B4">
        <f>IFERROR(IF('03_Balance_Raw'!B$7=0,"",'02_Income_Raw'!B$9/'03_Balance_Raw'!B$7*100),"")</f>
        <v/>
      </c>
      <c r="C4">
        <f>IFERROR(IF('03_Balance_Raw'!C$7=0,"",'02_Income_Raw'!C$9/'03_Balance_Raw'!C$7*100),"")</f>
        <v/>
      </c>
      <c r="D4">
        <f>IFERROR(IF('03_Balance_Raw'!D$7=0,"",'02_Income_Raw'!D$9/'03_Balance_Raw'!D$7*100),"")</f>
        <v/>
      </c>
      <c r="E4">
        <f>IFERROR(IF('03_Balance_Raw'!E$7=0,"",'02_Income_Raw'!E$9/'03_Balance_Raw'!E$7*100),"")</f>
        <v/>
      </c>
      <c r="F4">
        <f>IFERROR(IF('03_Balance_Raw'!F$7=0,"",'02_Income_Raw'!F$9/'03_Balance_Raw'!F$7*100),"")</f>
        <v/>
      </c>
    </row>
    <row r="5">
      <c r="A5" t="inlineStr">
        <is>
          <t>Net Margin %</t>
        </is>
      </c>
      <c r="B5">
        <f>IFERROR(IF('02_Income_Raw'!B$2=0,"",'02_Income_Raw'!B$16/'02_Income_Raw'!B$2*100),"")</f>
        <v/>
      </c>
      <c r="C5">
        <f>IFERROR(IF('02_Income_Raw'!C$2=0,"",'02_Income_Raw'!C$16/'02_Income_Raw'!C$2*100),"")</f>
        <v/>
      </c>
      <c r="D5">
        <f>IFERROR(IF('02_Income_Raw'!D$2=0,"",'02_Income_Raw'!D$16/'02_Income_Raw'!D$2*100),"")</f>
        <v/>
      </c>
      <c r="E5">
        <f>IFERROR(IF('02_Income_Raw'!E$2=0,"",'02_Income_Raw'!E$16/'02_Income_Raw'!E$2*100),"")</f>
        <v/>
      </c>
      <c r="F5">
        <f>IFERROR(IF('02_Income_Raw'!F$2=0,"",'02_Income_Raw'!F$16/'02_Income_Raw'!F$2*100),"")</f>
        <v/>
      </c>
    </row>
    <row r="6">
      <c r="A6" t="inlineStr">
        <is>
          <t>Asset Turnover</t>
        </is>
      </c>
      <c r="B6">
        <f>IFERROR(IFERROR('02_Income_Raw'!B$2/'03_Balance_Raw'!B$51,0),"")</f>
        <v/>
      </c>
      <c r="C6">
        <f>IFERROR(IFERROR('02_Income_Raw'!C$2/'03_Balance_Raw'!C$51,0),"")</f>
        <v/>
      </c>
      <c r="D6">
        <f>IFERROR(IFERROR('02_Income_Raw'!D$2/'03_Balance_Raw'!D$51,0),"")</f>
        <v/>
      </c>
      <c r="E6">
        <f>IFERROR(IFERROR('02_Income_Raw'!E$2/'03_Balance_Raw'!E$51,0),"")</f>
        <v/>
      </c>
      <c r="F6">
        <f>IFERROR(IFERROR('02_Income_Raw'!F$2/'03_Balance_Raw'!F$51,0),"")</f>
        <v/>
      </c>
    </row>
    <row r="7">
      <c r="A7" t="inlineStr">
        <is>
          <t>Equity Multiplier</t>
        </is>
      </c>
      <c r="B7">
        <f>IFERROR(IFERROR('03_Balance_Raw'!B$51/'03_Balance_Raw'!B$15,0),"")</f>
        <v/>
      </c>
      <c r="C7">
        <f>IFERROR(IFERROR('03_Balance_Raw'!C$51/'03_Balance_Raw'!C$15,0),"")</f>
        <v/>
      </c>
      <c r="D7">
        <f>IFERROR(IFERROR('03_Balance_Raw'!D$51/'03_Balance_Raw'!D$15,0),"")</f>
        <v/>
      </c>
      <c r="E7">
        <f>IFERROR(IFERROR('03_Balance_Raw'!E$51/'03_Balance_Raw'!E$15,0),"")</f>
        <v/>
      </c>
      <c r="F7">
        <f>IFERROR(IFERROR('03_Balance_Raw'!F$51/'03_Balance_Raw'!F$15,0),"")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</row>
    <row r="2">
      <c r="A2" t="inlineStr">
        <is>
          <t>Total Debt</t>
        </is>
      </c>
      <c r="B2">
        <f>IFERROR('03_Balance_Raw'!B$5,0)</f>
        <v/>
      </c>
      <c r="C2">
        <f>IFERROR('03_Balance_Raw'!C$5,0)</f>
        <v/>
      </c>
      <c r="D2">
        <f>IFERROR('03_Balance_Raw'!D$5,0)</f>
        <v/>
      </c>
      <c r="E2">
        <f>IFERROR('03_Balance_Raw'!E$5,0)</f>
        <v/>
      </c>
      <c r="F2">
        <f>IFERROR('03_Balance_Raw'!F$5,0)</f>
        <v/>
      </c>
    </row>
    <row r="3">
      <c r="A3" t="inlineStr">
        <is>
          <t>Net Debt</t>
        </is>
      </c>
      <c r="B3">
        <f>IFERROR(('03_Balance_Raw'!B$5)-('03_Balance_Raw'!B$80),0)</f>
        <v/>
      </c>
      <c r="C3">
        <f>IFERROR(('03_Balance_Raw'!C$5)-('03_Balance_Raw'!C$80),0)</f>
        <v/>
      </c>
      <c r="D3">
        <f>IFERROR(('03_Balance_Raw'!D$5)-('03_Balance_Raw'!D$80),0)</f>
        <v/>
      </c>
      <c r="E3">
        <f>IFERROR(('03_Balance_Raw'!E$5)-('03_Balance_Raw'!E$80),0)</f>
        <v/>
      </c>
      <c r="F3">
        <f>IFERROR(('03_Balance_Raw'!F$5)-('03_Balance_Raw'!F$80),0)</f>
        <v/>
      </c>
    </row>
    <row r="4">
      <c r="A4" t="inlineStr">
        <is>
          <t>Cash</t>
        </is>
      </c>
      <c r="B4">
        <f>IFERROR('03_Balance_Raw'!B$80,0)</f>
        <v/>
      </c>
      <c r="C4">
        <f>IFERROR('03_Balance_Raw'!C$80,0)</f>
        <v/>
      </c>
      <c r="D4">
        <f>IFERROR('03_Balance_Raw'!D$80,0)</f>
        <v/>
      </c>
      <c r="E4">
        <f>IFERROR('03_Balance_Raw'!E$80,0)</f>
        <v/>
      </c>
      <c r="F4">
        <f>IFERROR('03_Balance_Raw'!F$80,0)</f>
        <v/>
      </c>
    </row>
    <row r="5">
      <c r="A5" t="inlineStr">
        <is>
          <t>Debt / Equity</t>
        </is>
      </c>
      <c r="B5">
        <f>IFERROR(IF('03_Balance_Raw'!B$15=0,"",'03_Balance_Raw'!B$5/'03_Balance_Raw'!B$15),"")</f>
        <v/>
      </c>
      <c r="C5">
        <f>IFERROR(IF('03_Balance_Raw'!C$15=0,"",'03_Balance_Raw'!C$5/'03_Balance_Raw'!C$15),"")</f>
        <v/>
      </c>
      <c r="D5">
        <f>IFERROR(IF('03_Balance_Raw'!D$15=0,"",'03_Balance_Raw'!D$5/'03_Balance_Raw'!D$15),"")</f>
        <v/>
      </c>
      <c r="E5">
        <f>IFERROR(IF('03_Balance_Raw'!E$15=0,"",'03_Balance_Raw'!E$5/'03_Balance_Raw'!E$15),"")</f>
        <v/>
      </c>
      <c r="F5">
        <f>IFERROR(IF('03_Balance_Raw'!F$15=0,"",'03_Balance_Raw'!F$5/'03_Balance_Raw'!F$15),"")</f>
        <v/>
      </c>
    </row>
    <row r="6">
      <c r="A6" t="inlineStr">
        <is>
          <t>Net Debt / EBITDA</t>
        </is>
      </c>
      <c r="B6">
        <f>IFERROR(IF('02_Income_Raw'!B$10=0,"",(('03_Balance_Raw'!B$5)-('03_Balance_Raw'!B$80))/'02_Income_Raw'!B$10),"")</f>
        <v/>
      </c>
      <c r="C6">
        <f>IFERROR(IF('02_Income_Raw'!C$10=0,"",(('03_Balance_Raw'!C$5)-('03_Balance_Raw'!C$80))/'02_Income_Raw'!C$10),"")</f>
        <v/>
      </c>
      <c r="D6">
        <f>IFERROR(IF('02_Income_Raw'!D$10=0,"",(('03_Balance_Raw'!D$5)-('03_Balance_Raw'!D$80))/'02_Income_Raw'!D$10),"")</f>
        <v/>
      </c>
      <c r="E6">
        <f>IFERROR(IF('02_Income_Raw'!E$10=0,"",(('03_Balance_Raw'!E$5)-('03_Balance_Raw'!E$80))/'02_Income_Raw'!E$10),"")</f>
        <v/>
      </c>
      <c r="F6">
        <f>IFERROR(IF('02_Income_Raw'!F$10=0,"",(('03_Balance_Raw'!F$5)-('03_Balance_Raw'!F$80))/'02_Income_Raw'!F$10),"")</f>
        <v/>
      </c>
    </row>
    <row r="7">
      <c r="A7" t="inlineStr">
        <is>
          <t>Interest Coverage</t>
        </is>
      </c>
      <c r="B7">
        <f>IFERROR(IF(ABS('02_Income_Raw'!B$12)=0,"",'02_Income_Raw'!B$9/ABS('02_Income_Raw'!B$12)),"")</f>
        <v/>
      </c>
      <c r="C7">
        <f>IFERROR(IF(ABS('02_Income_Raw'!C$12)=0,"",'02_Income_Raw'!C$9/ABS('02_Income_Raw'!C$12)),"")</f>
        <v/>
      </c>
      <c r="D7">
        <f>IFERROR(IF(ABS('02_Income_Raw'!D$12)=0,"",'02_Income_Raw'!D$9/ABS('02_Income_Raw'!D$12)),"")</f>
        <v/>
      </c>
      <c r="E7">
        <f>IFERROR(IF(ABS('02_Income_Raw'!E$12)=0,"",'02_Income_Raw'!E$9/ABS('02_Income_Raw'!E$12)),"")</f>
        <v/>
      </c>
      <c r="F7">
        <f>IFERROR(IF(ABS('02_Income_Raw'!F$12)=0,"",'02_Income_Raw'!F$9/ABS('02_Income_Raw'!F$12)),"")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Formula / Notes</t>
        </is>
      </c>
      <c r="C1" t="n">
        <v>2025</v>
      </c>
      <c r="D1" t="n">
        <v>2026</v>
      </c>
    </row>
    <row r="2">
      <c r="A2" t="inlineStr">
        <is>
          <t>Total Revenue</t>
        </is>
      </c>
      <c r="B2">
        <f> prior year × (1 + growth)^n from 15a_Assumptions</f>
        <v/>
      </c>
      <c r="C2">
        <f>IFERROR('02_Income_Raw'!E$2*(1+'15a_Assumptions'!$B$4)^1,0)</f>
        <v/>
      </c>
      <c r="D2">
        <f>IFERROR('15_Budget'!C$2*(1+'15a_Assumptions'!$B$4)^2,0)</f>
        <v/>
      </c>
    </row>
    <row r="3">
      <c r="A3" t="inlineStr">
        <is>
          <t>Cost Of Revenue</t>
        </is>
      </c>
      <c r="B3">
        <f> prior year × (1 + growth)^n from 15a_Assumptions</f>
        <v/>
      </c>
      <c r="C3">
        <f>IFERROR('02_Income_Raw'!E$4*(1+'15a_Assumptions'!$B$5)^1,0)</f>
        <v/>
      </c>
      <c r="D3">
        <f>IFERROR('15_Budget'!C$3*(1+'15a_Assumptions'!$B$5)^2,0)</f>
        <v/>
      </c>
    </row>
    <row r="4">
      <c r="A4" t="inlineStr">
        <is>
          <t>Gross Profit</t>
        </is>
      </c>
      <c r="B4">
        <f> prior year × (1 + growth)^n from 15a_Assumptions</f>
        <v/>
      </c>
      <c r="C4">
        <f>IFERROR('15_Budget'!C$2-'15_Budget'!C$3,0)</f>
        <v/>
      </c>
      <c r="D4">
        <f>IFERROR('15_Budget'!D$2-'15_Budget'!D$3,0)</f>
        <v/>
      </c>
    </row>
    <row r="5">
      <c r="A5" t="inlineStr">
        <is>
          <t>Operating Expense</t>
        </is>
      </c>
      <c r="B5">
        <f> prior year × (1 + growth)^n from 15a_Assumptions</f>
        <v/>
      </c>
      <c r="C5">
        <f>IFERROR('02_Income_Raw'!E$6*(1+'15a_Assumptions'!$B$6)^1,0)</f>
        <v/>
      </c>
      <c r="D5">
        <f>IFERROR('15_Budget'!C$5*(1+'15a_Assumptions'!$B$6)^2,0)</f>
        <v/>
      </c>
    </row>
    <row r="6">
      <c r="A6" t="inlineStr">
        <is>
          <t>Operating Income</t>
        </is>
      </c>
      <c r="B6">
        <f> prior year × (1 + growth)^n from 15a_Assumptions</f>
        <v/>
      </c>
      <c r="C6">
        <f>IFERROR('15_Budget'!C$4-'15_Budget'!C$5,0)</f>
        <v/>
      </c>
      <c r="D6">
        <f>IFERROR('15_Budget'!D$4-'15_Budget'!D$5,0)</f>
        <v/>
      </c>
    </row>
    <row r="7">
      <c r="A7" t="inlineStr">
        <is>
          <t>Net Income</t>
        </is>
      </c>
      <c r="B7">
        <f> prior year × (1 + growth)^n from 15a_Assumptions</f>
        <v/>
      </c>
      <c r="C7">
        <f>IFERROR('15_Budget'!C$6*(1-'15a_Assumptions'!$B$7),0)</f>
        <v/>
      </c>
      <c r="D7">
        <f>IFERROR('15_Budget'!D$6*(1-'15a_Assumptions'!$B$7),0)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Budget</t>
        </is>
      </c>
      <c r="C1" t="inlineStr">
        <is>
          <t>Actual</t>
        </is>
      </c>
      <c r="D1" t="inlineStr">
        <is>
          <t>Variance</t>
        </is>
      </c>
      <c r="E1" t="inlineStr">
        <is>
          <t>Variance %</t>
        </is>
      </c>
      <c r="F1" t="inlineStr">
        <is>
          <t>Status</t>
        </is>
      </c>
    </row>
    <row r="2">
      <c r="A2" t="inlineStr">
        <is>
          <t>Total Revenue</t>
        </is>
      </c>
      <c r="B2">
        <f>IFERROR('15_Budget'!C$2,0)</f>
        <v/>
      </c>
      <c r="C2">
        <f>IFERROR('02_Income_Raw'!F$2,0)</f>
        <v/>
      </c>
      <c r="D2">
        <f>IFERROR(C2-B2,0)</f>
        <v/>
      </c>
      <c r="E2">
        <f>IFERROR(IF(B2=0,"",D2/B2*100),"")</f>
        <v/>
      </c>
      <c r="F2">
        <f>IF(D2&gt;=0,"Favorable","Unfavorable")</f>
        <v/>
      </c>
    </row>
    <row r="3">
      <c r="A3" t="inlineStr">
        <is>
          <t>Gross Profit</t>
        </is>
      </c>
      <c r="B3">
        <f>IFERROR('15_Budget'!C$3,0)</f>
        <v/>
      </c>
      <c r="C3">
        <f>IFERROR('02_Income_Raw'!F$5,0)</f>
        <v/>
      </c>
      <c r="D3">
        <f>IFERROR(C3-B3,0)</f>
        <v/>
      </c>
      <c r="E3">
        <f>IFERROR(IF(B3=0,"",D3/B3*100),"")</f>
        <v/>
      </c>
      <c r="F3">
        <f>IF(D3&gt;=0,"Favorable","Unfavorable")</f>
        <v/>
      </c>
    </row>
    <row r="4">
      <c r="A4" t="inlineStr">
        <is>
          <t>Operating Income</t>
        </is>
      </c>
      <c r="B4">
        <f>IFERROR('15_Budget'!C$4,0)</f>
        <v/>
      </c>
      <c r="C4">
        <f>IFERROR('02_Income_Raw'!F$9,0)</f>
        <v/>
      </c>
      <c r="D4">
        <f>IFERROR(C4-B4,0)</f>
        <v/>
      </c>
      <c r="E4">
        <f>IFERROR(IF(B4=0,"",D4/B4*100),"")</f>
        <v/>
      </c>
      <c r="F4">
        <f>IF(D4&gt;=0,"Favorable","Unfavorable")</f>
        <v/>
      </c>
    </row>
    <row r="5">
      <c r="A5" t="inlineStr">
        <is>
          <t>Net Income</t>
        </is>
      </c>
      <c r="B5">
        <f>IFERROR('15_Budget'!C$5,0)</f>
        <v/>
      </c>
      <c r="C5">
        <f>IFERROR('02_Income_Raw'!F$16,0)</f>
        <v/>
      </c>
      <c r="D5">
        <f>IFERROR(C5-B5,0)</f>
        <v/>
      </c>
      <c r="E5">
        <f>IFERROR(IF(B5=0,"",D5/B5*100),"")</f>
        <v/>
      </c>
      <c r="F5">
        <f>IF(D5&gt;=0,"Favorable","Unfavorable")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</row>
    <row r="2">
      <c r="A2" t="inlineStr">
        <is>
          <t>Total Revenue</t>
        </is>
      </c>
      <c r="B2">
        <f>IFERROR('02_Income_Raw'!B$2,0)</f>
        <v/>
      </c>
      <c r="C2">
        <f>IFERROR('02_Income_Raw'!C$2,0)</f>
        <v/>
      </c>
      <c r="D2">
        <f>IFERROR('02_Income_Raw'!D$2,0)</f>
        <v/>
      </c>
      <c r="E2">
        <f>IFERROR('02_Income_Raw'!E$2,0)</f>
        <v/>
      </c>
      <c r="F2">
        <f>IFERROR('02_Income_Raw'!F$2,0)</f>
        <v/>
      </c>
      <c r="G2">
        <f>IFERROR('15_Budget'!D$2,0)</f>
        <v/>
      </c>
    </row>
    <row r="3">
      <c r="A3" t="inlineStr">
        <is>
          <t>Cost Of Revenue</t>
        </is>
      </c>
      <c r="B3">
        <f>IFERROR('02_Income_Raw'!B$4,0)</f>
        <v/>
      </c>
      <c r="C3">
        <f>IFERROR('02_Income_Raw'!C$4,0)</f>
        <v/>
      </c>
      <c r="D3">
        <f>IFERROR('02_Income_Raw'!D$4,0)</f>
        <v/>
      </c>
      <c r="E3">
        <f>IFERROR('02_Income_Raw'!E$4,0)</f>
        <v/>
      </c>
      <c r="F3">
        <f>IFERROR('02_Income_Raw'!F$4,0)</f>
        <v/>
      </c>
      <c r="G3">
        <f>IFERROR('15_Budget'!D$3,0)</f>
        <v/>
      </c>
    </row>
    <row r="4">
      <c r="A4" t="inlineStr">
        <is>
          <t>Gross Profit</t>
        </is>
      </c>
      <c r="B4">
        <f>IFERROR('02_Income_Raw'!B$5,0)</f>
        <v/>
      </c>
      <c r="C4">
        <f>IFERROR('02_Income_Raw'!C$5,0)</f>
        <v/>
      </c>
      <c r="D4">
        <f>IFERROR('02_Income_Raw'!D$5,0)</f>
        <v/>
      </c>
      <c r="E4">
        <f>IFERROR('02_Income_Raw'!E$5,0)</f>
        <v/>
      </c>
      <c r="F4">
        <f>IFERROR('02_Income_Raw'!F$5,0)</f>
        <v/>
      </c>
      <c r="G4">
        <f>IFERROR('15_Budget'!D$4,0)</f>
        <v/>
      </c>
    </row>
    <row r="5">
      <c r="A5" t="inlineStr">
        <is>
          <t>Operating Income</t>
        </is>
      </c>
      <c r="B5">
        <f>IFERROR('02_Income_Raw'!B$9,0)</f>
        <v/>
      </c>
      <c r="C5">
        <f>IFERROR('02_Income_Raw'!C$9,0)</f>
        <v/>
      </c>
      <c r="D5">
        <f>IFERROR('02_Income_Raw'!D$9,0)</f>
        <v/>
      </c>
      <c r="E5">
        <f>IFERROR('02_Income_Raw'!E$9,0)</f>
        <v/>
      </c>
      <c r="F5">
        <f>IFERROR('02_Income_Raw'!F$9,0)</f>
        <v/>
      </c>
      <c r="G5">
        <f>IFERROR('15_Budget'!D$5,0)</f>
        <v/>
      </c>
    </row>
    <row r="6">
      <c r="A6" t="inlineStr">
        <is>
          <t>Net Income</t>
        </is>
      </c>
      <c r="B6">
        <f>IFERROR('02_Income_Raw'!B$16,0)</f>
        <v/>
      </c>
      <c r="C6">
        <f>IFERROR('02_Income_Raw'!C$16,0)</f>
        <v/>
      </c>
      <c r="D6">
        <f>IFERROR('02_Income_Raw'!D$16,0)</f>
        <v/>
      </c>
      <c r="E6">
        <f>IFERROR('02_Income_Raw'!E$16,0)</f>
        <v/>
      </c>
      <c r="F6">
        <f>IFERROR('02_Income_Raw'!F$16,0)</f>
        <v/>
      </c>
      <c r="G6">
        <f>IFERROR('15_Budget'!D$6,0)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</row>
    <row r="2">
      <c r="A2" t="inlineStr">
        <is>
          <t>Total Revenue</t>
        </is>
      </c>
      <c r="B2">
        <f>IFERROR('02_Income_Raw'!B$2,0)</f>
        <v/>
      </c>
      <c r="C2">
        <f>IFERROR('02_Income_Raw'!C$2,0)</f>
        <v/>
      </c>
      <c r="D2">
        <f>IFERROR('02_Income_Raw'!D$2,0)</f>
        <v/>
      </c>
      <c r="E2">
        <f>IFERROR('02_Income_Raw'!E$2,0)</f>
        <v/>
      </c>
      <c r="F2">
        <f>IFERROR('02_Income_Raw'!F$2,0)</f>
        <v/>
      </c>
      <c r="G2">
        <f>IFERROR(F2*(1+'15a_Assumptions'!$B$9)^1,0)</f>
        <v/>
      </c>
      <c r="H2">
        <f>IFERROR(G2*(1+'15a_Assumptions'!$B$9)^2,0)</f>
        <v/>
      </c>
      <c r="I2">
        <f>IFERROR(H2*(1+'15a_Assumptions'!$B$9)^3,0)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n">
        <v>2026</v>
      </c>
      <c r="C1" t="n">
        <v>2027</v>
      </c>
      <c r="D1" t="n">
        <v>2028</v>
      </c>
    </row>
    <row r="2">
      <c r="A2" t="inlineStr">
        <is>
          <t>Bear</t>
        </is>
      </c>
      <c r="B2">
        <f>IFERROR('02_Income_Raw'!F$2*(1+'15a_Assumptions'!$B$10)^1,0)</f>
        <v/>
      </c>
      <c r="C2">
        <f>IFERROR('02_Income_Raw'!F$2*(1+'15a_Assumptions'!$B$10)^2,0)</f>
        <v/>
      </c>
      <c r="D2">
        <f>IFERROR('02_Income_Raw'!F$2*(1+'15a_Assumptions'!$B$10)^3,0)</f>
        <v/>
      </c>
    </row>
    <row r="3">
      <c r="A3" t="inlineStr">
        <is>
          <t>Base</t>
        </is>
      </c>
      <c r="B3">
        <f>IFERROR('02_Income_Raw'!F$2*(1+'15a_Assumptions'!$B$11)^1,0)</f>
        <v/>
      </c>
      <c r="C3">
        <f>IFERROR('02_Income_Raw'!F$2*(1+'15a_Assumptions'!$B$11)^2,0)</f>
        <v/>
      </c>
      <c r="D3">
        <f>IFERROR('02_Income_Raw'!F$2*(1+'15a_Assumptions'!$B$11)^3,0)</f>
        <v/>
      </c>
    </row>
    <row r="4">
      <c r="A4" t="inlineStr">
        <is>
          <t>Bull</t>
        </is>
      </c>
      <c r="B4">
        <f>IFERROR('02_Income_Raw'!F$2*(1+'15a_Assumptions'!$B$12)^1,0)</f>
        <v/>
      </c>
      <c r="C4">
        <f>IFERROR('02_Income_Raw'!F$2*(1+'15a_Assumptions'!$B$12)^2,0)</f>
        <v/>
      </c>
      <c r="D4">
        <f>IFERROR('02_Income_Raw'!F$2*(1+'15a_Assumptions'!$B$12)^3,0)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-20%</t>
        </is>
      </c>
      <c r="C1" t="inlineStr">
        <is>
          <t>-15%</t>
        </is>
      </c>
      <c r="D1" t="inlineStr">
        <is>
          <t>-10%</t>
        </is>
      </c>
      <c r="E1" t="inlineStr">
        <is>
          <t>-5%</t>
        </is>
      </c>
      <c r="F1" t="inlineStr">
        <is>
          <t>0%</t>
        </is>
      </c>
      <c r="G1" t="inlineStr">
        <is>
          <t>5%</t>
        </is>
      </c>
      <c r="H1" t="inlineStr">
        <is>
          <t>10%</t>
        </is>
      </c>
      <c r="I1" t="inlineStr">
        <is>
          <t>15%</t>
        </is>
      </c>
      <c r="J1" t="inlineStr">
        <is>
          <t>20%</t>
        </is>
      </c>
    </row>
    <row r="2">
      <c r="A2" t="inlineStr">
        <is>
          <t>Adjusted Net Income</t>
        </is>
      </c>
      <c r="B2">
        <f>IFERROR(IF(('02_Income_Raw'!F$9)=0,(((('02_Income_Raw'!F$2)*(1+-0.2))-(('02_Income_Raw'!F$4)*(IF(('02_Income_Raw'!F$2)=0,1,('02_Income_Raw'!F$2)*(1+-0.2)/('02_Income_Raw'!F$2)))))-(('02_Income_Raw'!F$6)))*0.75,(((('02_Income_Raw'!F$2)*(1+-0.2))-(('02_Income_Raw'!F$4)*(IF(('02_Income_Raw'!F$2)=0,1,('02_Income_Raw'!F$2)*(1+-0.2)/('02_Income_Raw'!F$2)))))-(('02_Income_Raw'!F$6)))*(('02_Income_Raw'!F$16)/('02_Income_Raw'!F$9))),0)</f>
        <v/>
      </c>
      <c r="C2">
        <f>IFERROR(IF(('02_Income_Raw'!F$9)=0,(((('02_Income_Raw'!F$2)*(1+-0.15))-(('02_Income_Raw'!F$4)*(IF(('02_Income_Raw'!F$2)=0,1,('02_Income_Raw'!F$2)*(1+-0.15)/('02_Income_Raw'!F$2)))))-(('02_Income_Raw'!F$6)))*0.75,(((('02_Income_Raw'!F$2)*(1+-0.15))-(('02_Income_Raw'!F$4)*(IF(('02_Income_Raw'!F$2)=0,1,('02_Income_Raw'!F$2)*(1+-0.15)/('02_Income_Raw'!F$2)))))-(('02_Income_Raw'!F$6)))*(('02_Income_Raw'!F$16)/('02_Income_Raw'!F$9))),0)</f>
        <v/>
      </c>
      <c r="D2">
        <f>IFERROR(IF(('02_Income_Raw'!F$9)=0,(((('02_Income_Raw'!F$2)*(1+-0.1))-(('02_Income_Raw'!F$4)*(IF(('02_Income_Raw'!F$2)=0,1,('02_Income_Raw'!F$2)*(1+-0.1)/('02_Income_Raw'!F$2)))))-(('02_Income_Raw'!F$6)))*0.75,(((('02_Income_Raw'!F$2)*(1+-0.1))-(('02_Income_Raw'!F$4)*(IF(('02_Income_Raw'!F$2)=0,1,('02_Income_Raw'!F$2)*(1+-0.1)/('02_Income_Raw'!F$2)))))-(('02_Income_Raw'!F$6)))*(('02_Income_Raw'!F$16)/('02_Income_Raw'!F$9))),0)</f>
        <v/>
      </c>
      <c r="E2">
        <f>IFERROR(IF(('02_Income_Raw'!F$9)=0,(((('02_Income_Raw'!F$2)*(1+-0.05))-(('02_Income_Raw'!F$4)*(IF(('02_Income_Raw'!F$2)=0,1,('02_Income_Raw'!F$2)*(1+-0.05)/('02_Income_Raw'!F$2)))))-(('02_Income_Raw'!F$6)))*0.75,(((('02_Income_Raw'!F$2)*(1+-0.05))-(('02_Income_Raw'!F$4)*(IF(('02_Income_Raw'!F$2)=0,1,('02_Income_Raw'!F$2)*(1+-0.05)/('02_Income_Raw'!F$2)))))-(('02_Income_Raw'!F$6)))*(('02_Income_Raw'!F$16)/('02_Income_Raw'!F$9))),0)</f>
        <v/>
      </c>
      <c r="F2">
        <f>IFERROR(IF(('02_Income_Raw'!F$9)=0,(((('02_Income_Raw'!F$2)*(1+0.0))-(('02_Income_Raw'!F$4)*(IF(('02_Income_Raw'!F$2)=0,1,('02_Income_Raw'!F$2)*(1+0.0)/('02_Income_Raw'!F$2)))))-(('02_Income_Raw'!F$6)))*0.75,(((('02_Income_Raw'!F$2)*(1+0.0))-(('02_Income_Raw'!F$4)*(IF(('02_Income_Raw'!F$2)=0,1,('02_Income_Raw'!F$2)*(1+0.0)/('02_Income_Raw'!F$2)))))-(('02_Income_Raw'!F$6)))*(('02_Income_Raw'!F$16)/('02_Income_Raw'!F$9))),0)</f>
        <v/>
      </c>
      <c r="G2">
        <f>IFERROR(IF(('02_Income_Raw'!F$9)=0,(((('02_Income_Raw'!F$2)*(1+0.05))-(('02_Income_Raw'!F$4)*(IF(('02_Income_Raw'!F$2)=0,1,('02_Income_Raw'!F$2)*(1+0.05)/('02_Income_Raw'!F$2)))))-(('02_Income_Raw'!F$6)))*0.75,(((('02_Income_Raw'!F$2)*(1+0.05))-(('02_Income_Raw'!F$4)*(IF(('02_Income_Raw'!F$2)=0,1,('02_Income_Raw'!F$2)*(1+0.05)/('02_Income_Raw'!F$2)))))-(('02_Income_Raw'!F$6)))*(('02_Income_Raw'!F$16)/('02_Income_Raw'!F$9))),0)</f>
        <v/>
      </c>
      <c r="H2">
        <f>IFERROR(IF(('02_Income_Raw'!F$9)=0,(((('02_Income_Raw'!F$2)*(1+0.1))-(('02_Income_Raw'!F$4)*(IF(('02_Income_Raw'!F$2)=0,1,('02_Income_Raw'!F$2)*(1+0.1)/('02_Income_Raw'!F$2)))))-(('02_Income_Raw'!F$6)))*0.75,(((('02_Income_Raw'!F$2)*(1+0.1))-(('02_Income_Raw'!F$4)*(IF(('02_Income_Raw'!F$2)=0,1,('02_Income_Raw'!F$2)*(1+0.1)/('02_Income_Raw'!F$2)))))-(('02_Income_Raw'!F$6)))*(('02_Income_Raw'!F$16)/('02_Income_Raw'!F$9))),0)</f>
        <v/>
      </c>
      <c r="I2">
        <f>IFERROR(IF(('02_Income_Raw'!F$9)=0,(((('02_Income_Raw'!F$2)*(1+0.15))-(('02_Income_Raw'!F$4)*(IF(('02_Income_Raw'!F$2)=0,1,('02_Income_Raw'!F$2)*(1+0.15)/('02_Income_Raw'!F$2)))))-(('02_Income_Raw'!F$6)))*0.75,(((('02_Income_Raw'!F$2)*(1+0.15))-(('02_Income_Raw'!F$4)*(IF(('02_Income_Raw'!F$2)=0,1,('02_Income_Raw'!F$2)*(1+0.15)/('02_Income_Raw'!F$2)))))-(('02_Income_Raw'!F$6)))*(('02_Income_Raw'!F$16)/('02_Income_Raw'!F$9))),0)</f>
        <v/>
      </c>
      <c r="J2">
        <f>IFERROR(IF(('02_Income_Raw'!F$9)=0,(((('02_Income_Raw'!F$2)*(1+0.2))-(('02_Income_Raw'!F$4)*(IF(('02_Income_Raw'!F$2)=0,1,('02_Income_Raw'!F$2)*(1+0.2)/('02_Income_Raw'!F$2)))))-(('02_Income_Raw'!F$6)))*0.75,(((('02_Income_Raw'!F$2)*(1+0.2))-(('02_Income_Raw'!F$4)*(IF(('02_Income_Raw'!F$2)=0,1,('02_Income_Raw'!F$2)*(1+0.2)/('02_Income_Raw'!F$2)))))-(('02_Income_Raw'!F$6)))*(('02_Income_Raw'!F$16)/('02_Income_Raw'!F$9))),0)</f>
        <v/>
      </c>
    </row>
    <row r="3">
      <c r="A3" t="inlineStr">
        <is>
          <t>Net Income Impact</t>
        </is>
      </c>
      <c r="B3">
        <f>IFERROR(IF(('02_Income_Raw'!F$9)=0,(((('02_Income_Raw'!F$2)*(1+-0.2))-(('02_Income_Raw'!F$4)*(IF(('02_Income_Raw'!F$2)=0,1,('02_Income_Raw'!F$2)*(1+-0.2)/('02_Income_Raw'!F$2)))))-(('02_Income_Raw'!F$6)))*0.75,(((('02_Income_Raw'!F$2)*(1+-0.2))-(('02_Income_Raw'!F$4)*(IF(('02_Income_Raw'!F$2)=0,1,('02_Income_Raw'!F$2)*(1+-0.2)/('02_Income_Raw'!F$2)))))-(('02_Income_Raw'!F$6)))*(('02_Income_Raw'!F$16)/('02_Income_Raw'!F$9)))-('02_Income_Raw'!F$16),0)</f>
        <v/>
      </c>
      <c r="C3">
        <f>IFERROR(IF(('02_Income_Raw'!F$9)=0,(((('02_Income_Raw'!F$2)*(1+-0.15))-(('02_Income_Raw'!F$4)*(IF(('02_Income_Raw'!F$2)=0,1,('02_Income_Raw'!F$2)*(1+-0.15)/('02_Income_Raw'!F$2)))))-(('02_Income_Raw'!F$6)))*0.75,(((('02_Income_Raw'!F$2)*(1+-0.15))-(('02_Income_Raw'!F$4)*(IF(('02_Income_Raw'!F$2)=0,1,('02_Income_Raw'!F$2)*(1+-0.15)/('02_Income_Raw'!F$2)))))-(('02_Income_Raw'!F$6)))*(('02_Income_Raw'!F$16)/('02_Income_Raw'!F$9)))-('02_Income_Raw'!F$16),0)</f>
        <v/>
      </c>
      <c r="D3">
        <f>IFERROR(IF(('02_Income_Raw'!F$9)=0,(((('02_Income_Raw'!F$2)*(1+-0.1))-(('02_Income_Raw'!F$4)*(IF(('02_Income_Raw'!F$2)=0,1,('02_Income_Raw'!F$2)*(1+-0.1)/('02_Income_Raw'!F$2)))))-(('02_Income_Raw'!F$6)))*0.75,(((('02_Income_Raw'!F$2)*(1+-0.1))-(('02_Income_Raw'!F$4)*(IF(('02_Income_Raw'!F$2)=0,1,('02_Income_Raw'!F$2)*(1+-0.1)/('02_Income_Raw'!F$2)))))-(('02_Income_Raw'!F$6)))*(('02_Income_Raw'!F$16)/('02_Income_Raw'!F$9)))-('02_Income_Raw'!F$16),0)</f>
        <v/>
      </c>
      <c r="E3">
        <f>IFERROR(IF(('02_Income_Raw'!F$9)=0,(((('02_Income_Raw'!F$2)*(1+-0.05))-(('02_Income_Raw'!F$4)*(IF(('02_Income_Raw'!F$2)=0,1,('02_Income_Raw'!F$2)*(1+-0.05)/('02_Income_Raw'!F$2)))))-(('02_Income_Raw'!F$6)))*0.75,(((('02_Income_Raw'!F$2)*(1+-0.05))-(('02_Income_Raw'!F$4)*(IF(('02_Income_Raw'!F$2)=0,1,('02_Income_Raw'!F$2)*(1+-0.05)/('02_Income_Raw'!F$2)))))-(('02_Income_Raw'!F$6)))*(('02_Income_Raw'!F$16)/('02_Income_Raw'!F$9)))-('02_Income_Raw'!F$16),0)</f>
        <v/>
      </c>
      <c r="F3">
        <f>IFERROR(IF(('02_Income_Raw'!F$9)=0,(((('02_Income_Raw'!F$2)*(1+0.0))-(('02_Income_Raw'!F$4)*(IF(('02_Income_Raw'!F$2)=0,1,('02_Income_Raw'!F$2)*(1+0.0)/('02_Income_Raw'!F$2)))))-(('02_Income_Raw'!F$6)))*0.75,(((('02_Income_Raw'!F$2)*(1+0.0))-(('02_Income_Raw'!F$4)*(IF(('02_Income_Raw'!F$2)=0,1,('02_Income_Raw'!F$2)*(1+0.0)/('02_Income_Raw'!F$2)))))-(('02_Income_Raw'!F$6)))*(('02_Income_Raw'!F$16)/('02_Income_Raw'!F$9)))-('02_Income_Raw'!F$16),0)</f>
        <v/>
      </c>
      <c r="G3">
        <f>IFERROR(IF(('02_Income_Raw'!F$9)=0,(((('02_Income_Raw'!F$2)*(1+0.05))-(('02_Income_Raw'!F$4)*(IF(('02_Income_Raw'!F$2)=0,1,('02_Income_Raw'!F$2)*(1+0.05)/('02_Income_Raw'!F$2)))))-(('02_Income_Raw'!F$6)))*0.75,(((('02_Income_Raw'!F$2)*(1+0.05))-(('02_Income_Raw'!F$4)*(IF(('02_Income_Raw'!F$2)=0,1,('02_Income_Raw'!F$2)*(1+0.05)/('02_Income_Raw'!F$2)))))-(('02_Income_Raw'!F$6)))*(('02_Income_Raw'!F$16)/('02_Income_Raw'!F$9)))-('02_Income_Raw'!F$16),0)</f>
        <v/>
      </c>
      <c r="H3">
        <f>IFERROR(IF(('02_Income_Raw'!F$9)=0,(((('02_Income_Raw'!F$2)*(1+0.1))-(('02_Income_Raw'!F$4)*(IF(('02_Income_Raw'!F$2)=0,1,('02_Income_Raw'!F$2)*(1+0.1)/('02_Income_Raw'!F$2)))))-(('02_Income_Raw'!F$6)))*0.75,(((('02_Income_Raw'!F$2)*(1+0.1))-(('02_Income_Raw'!F$4)*(IF(('02_Income_Raw'!F$2)=0,1,('02_Income_Raw'!F$2)*(1+0.1)/('02_Income_Raw'!F$2)))))-(('02_Income_Raw'!F$6)))*(('02_Income_Raw'!F$16)/('02_Income_Raw'!F$9)))-('02_Income_Raw'!F$16),0)</f>
        <v/>
      </c>
      <c r="I3">
        <f>IFERROR(IF(('02_Income_Raw'!F$9)=0,(((('02_Income_Raw'!F$2)*(1+0.15))-(('02_Income_Raw'!F$4)*(IF(('02_Income_Raw'!F$2)=0,1,('02_Income_Raw'!F$2)*(1+0.15)/('02_Income_Raw'!F$2)))))-(('02_Income_Raw'!F$6)))*0.75,(((('02_Income_Raw'!F$2)*(1+0.15))-(('02_Income_Raw'!F$4)*(IF(('02_Income_Raw'!F$2)=0,1,('02_Income_Raw'!F$2)*(1+0.15)/('02_Income_Raw'!F$2)))))-(('02_Income_Raw'!F$6)))*(('02_Income_Raw'!F$16)/('02_Income_Raw'!F$9)))-('02_Income_Raw'!F$16),0)</f>
        <v/>
      </c>
      <c r="J3">
        <f>IFERROR(IF(('02_Income_Raw'!F$9)=0,(((('02_Income_Raw'!F$2)*(1+0.2))-(('02_Income_Raw'!F$4)*(IF(('02_Income_Raw'!F$2)=0,1,('02_Income_Raw'!F$2)*(1+0.2)/('02_Income_Raw'!F$2)))))-(('02_Income_Raw'!F$6)))*0.75,(((('02_Income_Raw'!F$2)*(1+0.2))-(('02_Income_Raw'!F$4)*(IF(('02_Income_Raw'!F$2)=0,1,('02_Income_Raw'!F$2)*(1+0.2)/('02_Income_Raw'!F$2)))))-(('02_Income_Raw'!F$6)))*(('02_Income_Raw'!F$16)/('02_Income_Raw'!F$9)))-('02_Income_Raw'!F$16),0)</f>
        <v/>
      </c>
    </row>
    <row r="4">
      <c r="A4" t="inlineStr">
        <is>
          <t>Net Income Impact %</t>
        </is>
      </c>
      <c r="B4">
        <f>IFERROR(IF(('02_Income_Raw'!F$16)=0,"",((IF(('02_Income_Raw'!F$9)=0,(((('02_Income_Raw'!F$2)*(1+-0.2))-(('02_Income_Raw'!F$4)*(IF(('02_Income_Raw'!F$2)=0,1,('02_Income_Raw'!F$2)*(1+-0.2)/('02_Income_Raw'!F$2)))))-(('02_Income_Raw'!F$6)))*0.75,(((('02_Income_Raw'!F$2)*(1+-0.2))-(('02_Income_Raw'!F$4)*(IF(('02_Income_Raw'!F$2)=0,1,('02_Income_Raw'!F$2)*(1+-0.2)/('02_Income_Raw'!F$2)))))-(('02_Income_Raw'!F$6)))*(('02_Income_Raw'!F$16)/('02_Income_Raw'!F$9))))-('02_Income_Raw'!F$16))/('02_Income_Raw'!F$16)*100),"")</f>
        <v/>
      </c>
      <c r="C4">
        <f>IFERROR(IF(('02_Income_Raw'!F$16)=0,"",((IF(('02_Income_Raw'!F$9)=0,(((('02_Income_Raw'!F$2)*(1+-0.15))-(('02_Income_Raw'!F$4)*(IF(('02_Income_Raw'!F$2)=0,1,('02_Income_Raw'!F$2)*(1+-0.15)/('02_Income_Raw'!F$2)))))-(('02_Income_Raw'!F$6)))*0.75,(((('02_Income_Raw'!F$2)*(1+-0.15))-(('02_Income_Raw'!F$4)*(IF(('02_Income_Raw'!F$2)=0,1,('02_Income_Raw'!F$2)*(1+-0.15)/('02_Income_Raw'!F$2)))))-(('02_Income_Raw'!F$6)))*(('02_Income_Raw'!F$16)/('02_Income_Raw'!F$9))))-('02_Income_Raw'!F$16))/('02_Income_Raw'!F$16)*100),"")</f>
        <v/>
      </c>
      <c r="D4">
        <f>IFERROR(IF(('02_Income_Raw'!F$16)=0,"",((IF(('02_Income_Raw'!F$9)=0,(((('02_Income_Raw'!F$2)*(1+-0.1))-(('02_Income_Raw'!F$4)*(IF(('02_Income_Raw'!F$2)=0,1,('02_Income_Raw'!F$2)*(1+-0.1)/('02_Income_Raw'!F$2)))))-(('02_Income_Raw'!F$6)))*0.75,(((('02_Income_Raw'!F$2)*(1+-0.1))-(('02_Income_Raw'!F$4)*(IF(('02_Income_Raw'!F$2)=0,1,('02_Income_Raw'!F$2)*(1+-0.1)/('02_Income_Raw'!F$2)))))-(('02_Income_Raw'!F$6)))*(('02_Income_Raw'!F$16)/('02_Income_Raw'!F$9))))-('02_Income_Raw'!F$16))/('02_Income_Raw'!F$16)*100),"")</f>
        <v/>
      </c>
      <c r="E4">
        <f>IFERROR(IF(('02_Income_Raw'!F$16)=0,"",((IF(('02_Income_Raw'!F$9)=0,(((('02_Income_Raw'!F$2)*(1+-0.05))-(('02_Income_Raw'!F$4)*(IF(('02_Income_Raw'!F$2)=0,1,('02_Income_Raw'!F$2)*(1+-0.05)/('02_Income_Raw'!F$2)))))-(('02_Income_Raw'!F$6)))*0.75,(((('02_Income_Raw'!F$2)*(1+-0.05))-(('02_Income_Raw'!F$4)*(IF(('02_Income_Raw'!F$2)=0,1,('02_Income_Raw'!F$2)*(1+-0.05)/('02_Income_Raw'!F$2)))))-(('02_Income_Raw'!F$6)))*(('02_Income_Raw'!F$16)/('02_Income_Raw'!F$9))))-('02_Income_Raw'!F$16))/('02_Income_Raw'!F$16)*100),"")</f>
        <v/>
      </c>
      <c r="F4">
        <f>IFERROR(IF(('02_Income_Raw'!F$16)=0,"",((IF(('02_Income_Raw'!F$9)=0,(((('02_Income_Raw'!F$2)*(1+0.0))-(('02_Income_Raw'!F$4)*(IF(('02_Income_Raw'!F$2)=0,1,('02_Income_Raw'!F$2)*(1+0.0)/('02_Income_Raw'!F$2)))))-(('02_Income_Raw'!F$6)))*0.75,(((('02_Income_Raw'!F$2)*(1+0.0))-(('02_Income_Raw'!F$4)*(IF(('02_Income_Raw'!F$2)=0,1,('02_Income_Raw'!F$2)*(1+0.0)/('02_Income_Raw'!F$2)))))-(('02_Income_Raw'!F$6)))*(('02_Income_Raw'!F$16)/('02_Income_Raw'!F$9))))-('02_Income_Raw'!F$16))/('02_Income_Raw'!F$16)*100),"")</f>
        <v/>
      </c>
      <c r="G4">
        <f>IFERROR(IF(('02_Income_Raw'!F$16)=0,"",((IF(('02_Income_Raw'!F$9)=0,(((('02_Income_Raw'!F$2)*(1+0.05))-(('02_Income_Raw'!F$4)*(IF(('02_Income_Raw'!F$2)=0,1,('02_Income_Raw'!F$2)*(1+0.05)/('02_Income_Raw'!F$2)))))-(('02_Income_Raw'!F$6)))*0.75,(((('02_Income_Raw'!F$2)*(1+0.05))-(('02_Income_Raw'!F$4)*(IF(('02_Income_Raw'!F$2)=0,1,('02_Income_Raw'!F$2)*(1+0.05)/('02_Income_Raw'!F$2)))))-(('02_Income_Raw'!F$6)))*(('02_Income_Raw'!F$16)/('02_Income_Raw'!F$9))))-('02_Income_Raw'!F$16))/('02_Income_Raw'!F$16)*100),"")</f>
        <v/>
      </c>
      <c r="H4">
        <f>IFERROR(IF(('02_Income_Raw'!F$16)=0,"",((IF(('02_Income_Raw'!F$9)=0,(((('02_Income_Raw'!F$2)*(1+0.1))-(('02_Income_Raw'!F$4)*(IF(('02_Income_Raw'!F$2)=0,1,('02_Income_Raw'!F$2)*(1+0.1)/('02_Income_Raw'!F$2)))))-(('02_Income_Raw'!F$6)))*0.75,(((('02_Income_Raw'!F$2)*(1+0.1))-(('02_Income_Raw'!F$4)*(IF(('02_Income_Raw'!F$2)=0,1,('02_Income_Raw'!F$2)*(1+0.1)/('02_Income_Raw'!F$2)))))-(('02_Income_Raw'!F$6)))*(('02_Income_Raw'!F$16)/('02_Income_Raw'!F$9))))-('02_Income_Raw'!F$16))/('02_Income_Raw'!F$16)*100),"")</f>
        <v/>
      </c>
      <c r="I4">
        <f>IFERROR(IF(('02_Income_Raw'!F$16)=0,"",((IF(('02_Income_Raw'!F$9)=0,(((('02_Income_Raw'!F$2)*(1+0.15))-(('02_Income_Raw'!F$4)*(IF(('02_Income_Raw'!F$2)=0,1,('02_Income_Raw'!F$2)*(1+0.15)/('02_Income_Raw'!F$2)))))-(('02_Income_Raw'!F$6)))*0.75,(((('02_Income_Raw'!F$2)*(1+0.15))-(('02_Income_Raw'!F$4)*(IF(('02_Income_Raw'!F$2)=0,1,('02_Income_Raw'!F$2)*(1+0.15)/('02_Income_Raw'!F$2)))))-(('02_Income_Raw'!F$6)))*(('02_Income_Raw'!F$16)/('02_Income_Raw'!F$9))))-('02_Income_Raw'!F$16))/('02_Income_Raw'!F$16)*100),"")</f>
        <v/>
      </c>
      <c r="J4">
        <f>IFERROR(IF(('02_Income_Raw'!F$16)=0,"",((IF(('02_Income_Raw'!F$9)=0,(((('02_Income_Raw'!F$2)*(1+0.2))-(('02_Income_Raw'!F$4)*(IF(('02_Income_Raw'!F$2)=0,1,('02_Income_Raw'!F$2)*(1+0.2)/('02_Income_Raw'!F$2)))))-(('02_Income_Raw'!F$6)))*0.75,(((('02_Income_Raw'!F$2)*(1+0.2))-(('02_Income_Raw'!F$4)*(IF(('02_Income_Raw'!F$2)=0,1,('02_Income_Raw'!F$2)*(1+0.2)/('02_Income_Raw'!F$2)))))-(('02_Income_Raw'!F$6)))*(('02_Income_Raw'!F$16)/('02_Income_Raw'!F$9))))-('02_Income_Raw'!F$16))/('02_Income_Raw'!F$16)*100),"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OpEx Change</t>
        </is>
      </c>
      <c r="B1" t="inlineStr">
        <is>
          <t>Revenue -15%</t>
        </is>
      </c>
      <c r="C1" t="inlineStr">
        <is>
          <t>Revenue -10%</t>
        </is>
      </c>
      <c r="D1" t="inlineStr">
        <is>
          <t>Revenue -5%</t>
        </is>
      </c>
      <c r="E1" t="inlineStr">
        <is>
          <t>Revenue +0%</t>
        </is>
      </c>
      <c r="F1" t="inlineStr">
        <is>
          <t>Revenue +5%</t>
        </is>
      </c>
      <c r="G1" t="inlineStr">
        <is>
          <t>Revenue +10%</t>
        </is>
      </c>
      <c r="H1" t="inlineStr">
        <is>
          <t>Revenue +15%</t>
        </is>
      </c>
    </row>
    <row r="2">
      <c r="A2" t="inlineStr">
        <is>
          <t>-15%</t>
        </is>
      </c>
      <c r="B2">
        <f>IFERROR(IF(('02_Income_Raw'!F$9)=0,(((('02_Income_Raw'!F$2)*(1+-0.15))-(('02_Income_Raw'!F$4)*(IF(('02_Income_Raw'!F$2)=0,1,('02_Income_Raw'!F$2)*(1+-0.15)/('02_Income_Raw'!F$2)))))-(('02_Income_Raw'!F$6)*(1+-0.15)))*0.75,(((('02_Income_Raw'!F$2)*(1+-0.15))-(('02_Income_Raw'!F$4)*(IF(('02_Income_Raw'!F$2)=0,1,('02_Income_Raw'!F$2)*(1+-0.15)/('02_Income_Raw'!F$2)))))-(('02_Income_Raw'!F$6)*(1+-0.15)))*(('02_Income_Raw'!F$16)/('02_Income_Raw'!F$9))),0)</f>
        <v/>
      </c>
      <c r="C2">
        <f>IFERROR(IF(('02_Income_Raw'!F$9)=0,(((('02_Income_Raw'!F$2)*(1+-0.1))-(('02_Income_Raw'!F$4)*(IF(('02_Income_Raw'!F$2)=0,1,('02_Income_Raw'!F$2)*(1+-0.1)/('02_Income_Raw'!F$2)))))-(('02_Income_Raw'!F$6)*(1+-0.15)))*0.75,(((('02_Income_Raw'!F$2)*(1+-0.1))-(('02_Income_Raw'!F$4)*(IF(('02_Income_Raw'!F$2)=0,1,('02_Income_Raw'!F$2)*(1+-0.1)/('02_Income_Raw'!F$2)))))-(('02_Income_Raw'!F$6)*(1+-0.15)))*(('02_Income_Raw'!F$16)/('02_Income_Raw'!F$9))),0)</f>
        <v/>
      </c>
      <c r="D2">
        <f>IFERROR(IF(('02_Income_Raw'!F$9)=0,(((('02_Income_Raw'!F$2)*(1+-0.05))-(('02_Income_Raw'!F$4)*(IF(('02_Income_Raw'!F$2)=0,1,('02_Income_Raw'!F$2)*(1+-0.05)/('02_Income_Raw'!F$2)))))-(('02_Income_Raw'!F$6)*(1+-0.15)))*0.75,(((('02_Income_Raw'!F$2)*(1+-0.05))-(('02_Income_Raw'!F$4)*(IF(('02_Income_Raw'!F$2)=0,1,('02_Income_Raw'!F$2)*(1+-0.05)/('02_Income_Raw'!F$2)))))-(('02_Income_Raw'!F$6)*(1+-0.15)))*(('02_Income_Raw'!F$16)/('02_Income_Raw'!F$9))),0)</f>
        <v/>
      </c>
      <c r="E2">
        <f>IFERROR(IF(('02_Income_Raw'!F$9)=0,(((('02_Income_Raw'!F$2)*(1+0.0))-(('02_Income_Raw'!F$4)*(IF(('02_Income_Raw'!F$2)=0,1,('02_Income_Raw'!F$2)*(1+0.0)/('02_Income_Raw'!F$2)))))-(('02_Income_Raw'!F$6)*(1+-0.15)))*0.75,(((('02_Income_Raw'!F$2)*(1+0.0))-(('02_Income_Raw'!F$4)*(IF(('02_Income_Raw'!F$2)=0,1,('02_Income_Raw'!F$2)*(1+0.0)/('02_Income_Raw'!F$2)))))-(('02_Income_Raw'!F$6)*(1+-0.15)))*(('02_Income_Raw'!F$16)/('02_Income_Raw'!F$9))),0)</f>
        <v/>
      </c>
      <c r="F2">
        <f>IFERROR(IF(('02_Income_Raw'!F$9)=0,(((('02_Income_Raw'!F$2)*(1+0.05))-(('02_Income_Raw'!F$4)*(IF(('02_Income_Raw'!F$2)=0,1,('02_Income_Raw'!F$2)*(1+0.05)/('02_Income_Raw'!F$2)))))-(('02_Income_Raw'!F$6)*(1+-0.15)))*0.75,(((('02_Income_Raw'!F$2)*(1+0.05))-(('02_Income_Raw'!F$4)*(IF(('02_Income_Raw'!F$2)=0,1,('02_Income_Raw'!F$2)*(1+0.05)/('02_Income_Raw'!F$2)))))-(('02_Income_Raw'!F$6)*(1+-0.15)))*(('02_Income_Raw'!F$16)/('02_Income_Raw'!F$9))),0)</f>
        <v/>
      </c>
      <c r="G2">
        <f>IFERROR(IF(('02_Income_Raw'!F$9)=0,(((('02_Income_Raw'!F$2)*(1+0.1))-(('02_Income_Raw'!F$4)*(IF(('02_Income_Raw'!F$2)=0,1,('02_Income_Raw'!F$2)*(1+0.1)/('02_Income_Raw'!F$2)))))-(('02_Income_Raw'!F$6)*(1+-0.15)))*0.75,(((('02_Income_Raw'!F$2)*(1+0.1))-(('02_Income_Raw'!F$4)*(IF(('02_Income_Raw'!F$2)=0,1,('02_Income_Raw'!F$2)*(1+0.1)/('02_Income_Raw'!F$2)))))-(('02_Income_Raw'!F$6)*(1+-0.15)))*(('02_Income_Raw'!F$16)/('02_Income_Raw'!F$9))),0)</f>
        <v/>
      </c>
      <c r="H2">
        <f>IFERROR(IF(('02_Income_Raw'!F$9)=0,(((('02_Income_Raw'!F$2)*(1+0.15))-(('02_Income_Raw'!F$4)*(IF(('02_Income_Raw'!F$2)=0,1,('02_Income_Raw'!F$2)*(1+0.15)/('02_Income_Raw'!F$2)))))-(('02_Income_Raw'!F$6)*(1+-0.15)))*0.75,(((('02_Income_Raw'!F$2)*(1+0.15))-(('02_Income_Raw'!F$4)*(IF(('02_Income_Raw'!F$2)=0,1,('02_Income_Raw'!F$2)*(1+0.15)/('02_Income_Raw'!F$2)))))-(('02_Income_Raw'!F$6)*(1+-0.15)))*(('02_Income_Raw'!F$16)/('02_Income_Raw'!F$9))),0)</f>
        <v/>
      </c>
    </row>
    <row r="3">
      <c r="A3" t="inlineStr">
        <is>
          <t>-10%</t>
        </is>
      </c>
      <c r="B3">
        <f>IFERROR(IF(('02_Income_Raw'!F$9)=0,(((('02_Income_Raw'!F$2)*(1+-0.15))-(('02_Income_Raw'!F$4)*(IF(('02_Income_Raw'!F$2)=0,1,('02_Income_Raw'!F$2)*(1+-0.15)/('02_Income_Raw'!F$2)))))-(('02_Income_Raw'!F$6)*(1+-0.1)))*0.75,(((('02_Income_Raw'!F$2)*(1+-0.15))-(('02_Income_Raw'!F$4)*(IF(('02_Income_Raw'!F$2)=0,1,('02_Income_Raw'!F$2)*(1+-0.15)/('02_Income_Raw'!F$2)))))-(('02_Income_Raw'!F$6)*(1+-0.1)))*(('02_Income_Raw'!F$16)/('02_Income_Raw'!F$9))),0)</f>
        <v/>
      </c>
      <c r="C3">
        <f>IFERROR(IF(('02_Income_Raw'!F$9)=0,(((('02_Income_Raw'!F$2)*(1+-0.1))-(('02_Income_Raw'!F$4)*(IF(('02_Income_Raw'!F$2)=0,1,('02_Income_Raw'!F$2)*(1+-0.1)/('02_Income_Raw'!F$2)))))-(('02_Income_Raw'!F$6)*(1+-0.1)))*0.75,(((('02_Income_Raw'!F$2)*(1+-0.1))-(('02_Income_Raw'!F$4)*(IF(('02_Income_Raw'!F$2)=0,1,('02_Income_Raw'!F$2)*(1+-0.1)/('02_Income_Raw'!F$2)))))-(('02_Income_Raw'!F$6)*(1+-0.1)))*(('02_Income_Raw'!F$16)/('02_Income_Raw'!F$9))),0)</f>
        <v/>
      </c>
      <c r="D3">
        <f>IFERROR(IF(('02_Income_Raw'!F$9)=0,(((('02_Income_Raw'!F$2)*(1+-0.05))-(('02_Income_Raw'!F$4)*(IF(('02_Income_Raw'!F$2)=0,1,('02_Income_Raw'!F$2)*(1+-0.05)/('02_Income_Raw'!F$2)))))-(('02_Income_Raw'!F$6)*(1+-0.1)))*0.75,(((('02_Income_Raw'!F$2)*(1+-0.05))-(('02_Income_Raw'!F$4)*(IF(('02_Income_Raw'!F$2)=0,1,('02_Income_Raw'!F$2)*(1+-0.05)/('02_Income_Raw'!F$2)))))-(('02_Income_Raw'!F$6)*(1+-0.1)))*(('02_Income_Raw'!F$16)/('02_Income_Raw'!F$9))),0)</f>
        <v/>
      </c>
      <c r="E3">
        <f>IFERROR(IF(('02_Income_Raw'!F$9)=0,(((('02_Income_Raw'!F$2)*(1+0.0))-(('02_Income_Raw'!F$4)*(IF(('02_Income_Raw'!F$2)=0,1,('02_Income_Raw'!F$2)*(1+0.0)/('02_Income_Raw'!F$2)))))-(('02_Income_Raw'!F$6)*(1+-0.1)))*0.75,(((('02_Income_Raw'!F$2)*(1+0.0))-(('02_Income_Raw'!F$4)*(IF(('02_Income_Raw'!F$2)=0,1,('02_Income_Raw'!F$2)*(1+0.0)/('02_Income_Raw'!F$2)))))-(('02_Income_Raw'!F$6)*(1+-0.1)))*(('02_Income_Raw'!F$16)/('02_Income_Raw'!F$9))),0)</f>
        <v/>
      </c>
      <c r="F3">
        <f>IFERROR(IF(('02_Income_Raw'!F$9)=0,(((('02_Income_Raw'!F$2)*(1+0.05))-(('02_Income_Raw'!F$4)*(IF(('02_Income_Raw'!F$2)=0,1,('02_Income_Raw'!F$2)*(1+0.05)/('02_Income_Raw'!F$2)))))-(('02_Income_Raw'!F$6)*(1+-0.1)))*0.75,(((('02_Income_Raw'!F$2)*(1+0.05))-(('02_Income_Raw'!F$4)*(IF(('02_Income_Raw'!F$2)=0,1,('02_Income_Raw'!F$2)*(1+0.05)/('02_Income_Raw'!F$2)))))-(('02_Income_Raw'!F$6)*(1+-0.1)))*(('02_Income_Raw'!F$16)/('02_Income_Raw'!F$9))),0)</f>
        <v/>
      </c>
      <c r="G3">
        <f>IFERROR(IF(('02_Income_Raw'!F$9)=0,(((('02_Income_Raw'!F$2)*(1+0.1))-(('02_Income_Raw'!F$4)*(IF(('02_Income_Raw'!F$2)=0,1,('02_Income_Raw'!F$2)*(1+0.1)/('02_Income_Raw'!F$2)))))-(('02_Income_Raw'!F$6)*(1+-0.1)))*0.75,(((('02_Income_Raw'!F$2)*(1+0.1))-(('02_Income_Raw'!F$4)*(IF(('02_Income_Raw'!F$2)=0,1,('02_Income_Raw'!F$2)*(1+0.1)/('02_Income_Raw'!F$2)))))-(('02_Income_Raw'!F$6)*(1+-0.1)))*(('02_Income_Raw'!F$16)/('02_Income_Raw'!F$9))),0)</f>
        <v/>
      </c>
      <c r="H3">
        <f>IFERROR(IF(('02_Income_Raw'!F$9)=0,(((('02_Income_Raw'!F$2)*(1+0.15))-(('02_Income_Raw'!F$4)*(IF(('02_Income_Raw'!F$2)=0,1,('02_Income_Raw'!F$2)*(1+0.15)/('02_Income_Raw'!F$2)))))-(('02_Income_Raw'!F$6)*(1+-0.1)))*0.75,(((('02_Income_Raw'!F$2)*(1+0.15))-(('02_Income_Raw'!F$4)*(IF(('02_Income_Raw'!F$2)=0,1,('02_Income_Raw'!F$2)*(1+0.15)/('02_Income_Raw'!F$2)))))-(('02_Income_Raw'!F$6)*(1+-0.1)))*(('02_Income_Raw'!F$16)/('02_Income_Raw'!F$9))),0)</f>
        <v/>
      </c>
    </row>
    <row r="4">
      <c r="A4" t="inlineStr">
        <is>
          <t>-5%</t>
        </is>
      </c>
      <c r="B4">
        <f>IFERROR(IF(('02_Income_Raw'!F$9)=0,(((('02_Income_Raw'!F$2)*(1+-0.15))-(('02_Income_Raw'!F$4)*(IF(('02_Income_Raw'!F$2)=0,1,('02_Income_Raw'!F$2)*(1+-0.15)/('02_Income_Raw'!F$2)))))-(('02_Income_Raw'!F$6)*(1+-0.05)))*0.75,(((('02_Income_Raw'!F$2)*(1+-0.15))-(('02_Income_Raw'!F$4)*(IF(('02_Income_Raw'!F$2)=0,1,('02_Income_Raw'!F$2)*(1+-0.15)/('02_Income_Raw'!F$2)))))-(('02_Income_Raw'!F$6)*(1+-0.05)))*(('02_Income_Raw'!F$16)/('02_Income_Raw'!F$9))),0)</f>
        <v/>
      </c>
      <c r="C4">
        <f>IFERROR(IF(('02_Income_Raw'!F$9)=0,(((('02_Income_Raw'!F$2)*(1+-0.1))-(('02_Income_Raw'!F$4)*(IF(('02_Income_Raw'!F$2)=0,1,('02_Income_Raw'!F$2)*(1+-0.1)/('02_Income_Raw'!F$2)))))-(('02_Income_Raw'!F$6)*(1+-0.05)))*0.75,(((('02_Income_Raw'!F$2)*(1+-0.1))-(('02_Income_Raw'!F$4)*(IF(('02_Income_Raw'!F$2)=0,1,('02_Income_Raw'!F$2)*(1+-0.1)/('02_Income_Raw'!F$2)))))-(('02_Income_Raw'!F$6)*(1+-0.05)))*(('02_Income_Raw'!F$16)/('02_Income_Raw'!F$9))),0)</f>
        <v/>
      </c>
      <c r="D4">
        <f>IFERROR(IF(('02_Income_Raw'!F$9)=0,(((('02_Income_Raw'!F$2)*(1+-0.05))-(('02_Income_Raw'!F$4)*(IF(('02_Income_Raw'!F$2)=0,1,('02_Income_Raw'!F$2)*(1+-0.05)/('02_Income_Raw'!F$2)))))-(('02_Income_Raw'!F$6)*(1+-0.05)))*0.75,(((('02_Income_Raw'!F$2)*(1+-0.05))-(('02_Income_Raw'!F$4)*(IF(('02_Income_Raw'!F$2)=0,1,('02_Income_Raw'!F$2)*(1+-0.05)/('02_Income_Raw'!F$2)))))-(('02_Income_Raw'!F$6)*(1+-0.05)))*(('02_Income_Raw'!F$16)/('02_Income_Raw'!F$9))),0)</f>
        <v/>
      </c>
      <c r="E4">
        <f>IFERROR(IF(('02_Income_Raw'!F$9)=0,(((('02_Income_Raw'!F$2)*(1+0.0))-(('02_Income_Raw'!F$4)*(IF(('02_Income_Raw'!F$2)=0,1,('02_Income_Raw'!F$2)*(1+0.0)/('02_Income_Raw'!F$2)))))-(('02_Income_Raw'!F$6)*(1+-0.05)))*0.75,(((('02_Income_Raw'!F$2)*(1+0.0))-(('02_Income_Raw'!F$4)*(IF(('02_Income_Raw'!F$2)=0,1,('02_Income_Raw'!F$2)*(1+0.0)/('02_Income_Raw'!F$2)))))-(('02_Income_Raw'!F$6)*(1+-0.05)))*(('02_Income_Raw'!F$16)/('02_Income_Raw'!F$9))),0)</f>
        <v/>
      </c>
      <c r="F4">
        <f>IFERROR(IF(('02_Income_Raw'!F$9)=0,(((('02_Income_Raw'!F$2)*(1+0.05))-(('02_Income_Raw'!F$4)*(IF(('02_Income_Raw'!F$2)=0,1,('02_Income_Raw'!F$2)*(1+0.05)/('02_Income_Raw'!F$2)))))-(('02_Income_Raw'!F$6)*(1+-0.05)))*0.75,(((('02_Income_Raw'!F$2)*(1+0.05))-(('02_Income_Raw'!F$4)*(IF(('02_Income_Raw'!F$2)=0,1,('02_Income_Raw'!F$2)*(1+0.05)/('02_Income_Raw'!F$2)))))-(('02_Income_Raw'!F$6)*(1+-0.05)))*(('02_Income_Raw'!F$16)/('02_Income_Raw'!F$9))),0)</f>
        <v/>
      </c>
      <c r="G4">
        <f>IFERROR(IF(('02_Income_Raw'!F$9)=0,(((('02_Income_Raw'!F$2)*(1+0.1))-(('02_Income_Raw'!F$4)*(IF(('02_Income_Raw'!F$2)=0,1,('02_Income_Raw'!F$2)*(1+0.1)/('02_Income_Raw'!F$2)))))-(('02_Income_Raw'!F$6)*(1+-0.05)))*0.75,(((('02_Income_Raw'!F$2)*(1+0.1))-(('02_Income_Raw'!F$4)*(IF(('02_Income_Raw'!F$2)=0,1,('02_Income_Raw'!F$2)*(1+0.1)/('02_Income_Raw'!F$2)))))-(('02_Income_Raw'!F$6)*(1+-0.05)))*(('02_Income_Raw'!F$16)/('02_Income_Raw'!F$9))),0)</f>
        <v/>
      </c>
      <c r="H4">
        <f>IFERROR(IF(('02_Income_Raw'!F$9)=0,(((('02_Income_Raw'!F$2)*(1+0.15))-(('02_Income_Raw'!F$4)*(IF(('02_Income_Raw'!F$2)=0,1,('02_Income_Raw'!F$2)*(1+0.15)/('02_Income_Raw'!F$2)))))-(('02_Income_Raw'!F$6)*(1+-0.05)))*0.75,(((('02_Income_Raw'!F$2)*(1+0.15))-(('02_Income_Raw'!F$4)*(IF(('02_Income_Raw'!F$2)=0,1,('02_Income_Raw'!F$2)*(1+0.15)/('02_Income_Raw'!F$2)))))-(('02_Income_Raw'!F$6)*(1+-0.05)))*(('02_Income_Raw'!F$16)/('02_Income_Raw'!F$9))),0)</f>
        <v/>
      </c>
    </row>
    <row r="5">
      <c r="A5" t="inlineStr">
        <is>
          <t>+0%</t>
        </is>
      </c>
      <c r="B5">
        <f>IFERROR(IF(('02_Income_Raw'!F$9)=0,(((('02_Income_Raw'!F$2)*(1+-0.15))-(('02_Income_Raw'!F$4)*(IF(('02_Income_Raw'!F$2)=0,1,('02_Income_Raw'!F$2)*(1+-0.15)/('02_Income_Raw'!F$2)))))-(('02_Income_Raw'!F$6)*(1+0.0)))*0.75,(((('02_Income_Raw'!F$2)*(1+-0.15))-(('02_Income_Raw'!F$4)*(IF(('02_Income_Raw'!F$2)=0,1,('02_Income_Raw'!F$2)*(1+-0.15)/('02_Income_Raw'!F$2)))))-(('02_Income_Raw'!F$6)*(1+0.0)))*(('02_Income_Raw'!F$16)/('02_Income_Raw'!F$9))),0)</f>
        <v/>
      </c>
      <c r="C5">
        <f>IFERROR(IF(('02_Income_Raw'!F$9)=0,(((('02_Income_Raw'!F$2)*(1+-0.1))-(('02_Income_Raw'!F$4)*(IF(('02_Income_Raw'!F$2)=0,1,('02_Income_Raw'!F$2)*(1+-0.1)/('02_Income_Raw'!F$2)))))-(('02_Income_Raw'!F$6)*(1+0.0)))*0.75,(((('02_Income_Raw'!F$2)*(1+-0.1))-(('02_Income_Raw'!F$4)*(IF(('02_Income_Raw'!F$2)=0,1,('02_Income_Raw'!F$2)*(1+-0.1)/('02_Income_Raw'!F$2)))))-(('02_Income_Raw'!F$6)*(1+0.0)))*(('02_Income_Raw'!F$16)/('02_Income_Raw'!F$9))),0)</f>
        <v/>
      </c>
      <c r="D5">
        <f>IFERROR(IF(('02_Income_Raw'!F$9)=0,(((('02_Income_Raw'!F$2)*(1+-0.05))-(('02_Income_Raw'!F$4)*(IF(('02_Income_Raw'!F$2)=0,1,('02_Income_Raw'!F$2)*(1+-0.05)/('02_Income_Raw'!F$2)))))-(('02_Income_Raw'!F$6)*(1+0.0)))*0.75,(((('02_Income_Raw'!F$2)*(1+-0.05))-(('02_Income_Raw'!F$4)*(IF(('02_Income_Raw'!F$2)=0,1,('02_Income_Raw'!F$2)*(1+-0.05)/('02_Income_Raw'!F$2)))))-(('02_Income_Raw'!F$6)*(1+0.0)))*(('02_Income_Raw'!F$16)/('02_Income_Raw'!F$9))),0)</f>
        <v/>
      </c>
      <c r="E5">
        <f>IFERROR(IF(('02_Income_Raw'!F$9)=0,(((('02_Income_Raw'!F$2)*(1+0.0))-(('02_Income_Raw'!F$4)*(IF(('02_Income_Raw'!F$2)=0,1,('02_Income_Raw'!F$2)*(1+0.0)/('02_Income_Raw'!F$2)))))-(('02_Income_Raw'!F$6)*(1+0.0)))*0.75,(((('02_Income_Raw'!F$2)*(1+0.0))-(('02_Income_Raw'!F$4)*(IF(('02_Income_Raw'!F$2)=0,1,('02_Income_Raw'!F$2)*(1+0.0)/('02_Income_Raw'!F$2)))))-(('02_Income_Raw'!F$6)*(1+0.0)))*(('02_Income_Raw'!F$16)/('02_Income_Raw'!F$9))),0)</f>
        <v/>
      </c>
      <c r="F5">
        <f>IFERROR(IF(('02_Income_Raw'!F$9)=0,(((('02_Income_Raw'!F$2)*(1+0.05))-(('02_Income_Raw'!F$4)*(IF(('02_Income_Raw'!F$2)=0,1,('02_Income_Raw'!F$2)*(1+0.05)/('02_Income_Raw'!F$2)))))-(('02_Income_Raw'!F$6)*(1+0.0)))*0.75,(((('02_Income_Raw'!F$2)*(1+0.05))-(('02_Income_Raw'!F$4)*(IF(('02_Income_Raw'!F$2)=0,1,('02_Income_Raw'!F$2)*(1+0.05)/('02_Income_Raw'!F$2)))))-(('02_Income_Raw'!F$6)*(1+0.0)))*(('02_Income_Raw'!F$16)/('02_Income_Raw'!F$9))),0)</f>
        <v/>
      </c>
      <c r="G5">
        <f>IFERROR(IF(('02_Income_Raw'!F$9)=0,(((('02_Income_Raw'!F$2)*(1+0.1))-(('02_Income_Raw'!F$4)*(IF(('02_Income_Raw'!F$2)=0,1,('02_Income_Raw'!F$2)*(1+0.1)/('02_Income_Raw'!F$2)))))-(('02_Income_Raw'!F$6)*(1+0.0)))*0.75,(((('02_Income_Raw'!F$2)*(1+0.1))-(('02_Income_Raw'!F$4)*(IF(('02_Income_Raw'!F$2)=0,1,('02_Income_Raw'!F$2)*(1+0.1)/('02_Income_Raw'!F$2)))))-(('02_Income_Raw'!F$6)*(1+0.0)))*(('02_Income_Raw'!F$16)/('02_Income_Raw'!F$9))),0)</f>
        <v/>
      </c>
      <c r="H5">
        <f>IFERROR(IF(('02_Income_Raw'!F$9)=0,(((('02_Income_Raw'!F$2)*(1+0.15))-(('02_Income_Raw'!F$4)*(IF(('02_Income_Raw'!F$2)=0,1,('02_Income_Raw'!F$2)*(1+0.15)/('02_Income_Raw'!F$2)))))-(('02_Income_Raw'!F$6)*(1+0.0)))*0.75,(((('02_Income_Raw'!F$2)*(1+0.15))-(('02_Income_Raw'!F$4)*(IF(('02_Income_Raw'!F$2)=0,1,('02_Income_Raw'!F$2)*(1+0.15)/('02_Income_Raw'!F$2)))))-(('02_Income_Raw'!F$6)*(1+0.0)))*(('02_Income_Raw'!F$16)/('02_Income_Raw'!F$9))),0)</f>
        <v/>
      </c>
    </row>
    <row r="6">
      <c r="A6" t="inlineStr">
        <is>
          <t>+5%</t>
        </is>
      </c>
      <c r="B6">
        <f>IFERROR(IF(('02_Income_Raw'!F$9)=0,(((('02_Income_Raw'!F$2)*(1+-0.15))-(('02_Income_Raw'!F$4)*(IF(('02_Income_Raw'!F$2)=0,1,('02_Income_Raw'!F$2)*(1+-0.15)/('02_Income_Raw'!F$2)))))-(('02_Income_Raw'!F$6)*(1+0.05)))*0.75,(((('02_Income_Raw'!F$2)*(1+-0.15))-(('02_Income_Raw'!F$4)*(IF(('02_Income_Raw'!F$2)=0,1,('02_Income_Raw'!F$2)*(1+-0.15)/('02_Income_Raw'!F$2)))))-(('02_Income_Raw'!F$6)*(1+0.05)))*(('02_Income_Raw'!F$16)/('02_Income_Raw'!F$9))),0)</f>
        <v/>
      </c>
      <c r="C6">
        <f>IFERROR(IF(('02_Income_Raw'!F$9)=0,(((('02_Income_Raw'!F$2)*(1+-0.1))-(('02_Income_Raw'!F$4)*(IF(('02_Income_Raw'!F$2)=0,1,('02_Income_Raw'!F$2)*(1+-0.1)/('02_Income_Raw'!F$2)))))-(('02_Income_Raw'!F$6)*(1+0.05)))*0.75,(((('02_Income_Raw'!F$2)*(1+-0.1))-(('02_Income_Raw'!F$4)*(IF(('02_Income_Raw'!F$2)=0,1,('02_Income_Raw'!F$2)*(1+-0.1)/('02_Income_Raw'!F$2)))))-(('02_Income_Raw'!F$6)*(1+0.05)))*(('02_Income_Raw'!F$16)/('02_Income_Raw'!F$9))),0)</f>
        <v/>
      </c>
      <c r="D6">
        <f>IFERROR(IF(('02_Income_Raw'!F$9)=0,(((('02_Income_Raw'!F$2)*(1+-0.05))-(('02_Income_Raw'!F$4)*(IF(('02_Income_Raw'!F$2)=0,1,('02_Income_Raw'!F$2)*(1+-0.05)/('02_Income_Raw'!F$2)))))-(('02_Income_Raw'!F$6)*(1+0.05)))*0.75,(((('02_Income_Raw'!F$2)*(1+-0.05))-(('02_Income_Raw'!F$4)*(IF(('02_Income_Raw'!F$2)=0,1,('02_Income_Raw'!F$2)*(1+-0.05)/('02_Income_Raw'!F$2)))))-(('02_Income_Raw'!F$6)*(1+0.05)))*(('02_Income_Raw'!F$16)/('02_Income_Raw'!F$9))),0)</f>
        <v/>
      </c>
      <c r="E6">
        <f>IFERROR(IF(('02_Income_Raw'!F$9)=0,(((('02_Income_Raw'!F$2)*(1+0.0))-(('02_Income_Raw'!F$4)*(IF(('02_Income_Raw'!F$2)=0,1,('02_Income_Raw'!F$2)*(1+0.0)/('02_Income_Raw'!F$2)))))-(('02_Income_Raw'!F$6)*(1+0.05)))*0.75,(((('02_Income_Raw'!F$2)*(1+0.0))-(('02_Income_Raw'!F$4)*(IF(('02_Income_Raw'!F$2)=0,1,('02_Income_Raw'!F$2)*(1+0.0)/('02_Income_Raw'!F$2)))))-(('02_Income_Raw'!F$6)*(1+0.05)))*(('02_Income_Raw'!F$16)/('02_Income_Raw'!F$9))),0)</f>
        <v/>
      </c>
      <c r="F6">
        <f>IFERROR(IF(('02_Income_Raw'!F$9)=0,(((('02_Income_Raw'!F$2)*(1+0.05))-(('02_Income_Raw'!F$4)*(IF(('02_Income_Raw'!F$2)=0,1,('02_Income_Raw'!F$2)*(1+0.05)/('02_Income_Raw'!F$2)))))-(('02_Income_Raw'!F$6)*(1+0.05)))*0.75,(((('02_Income_Raw'!F$2)*(1+0.05))-(('02_Income_Raw'!F$4)*(IF(('02_Income_Raw'!F$2)=0,1,('02_Income_Raw'!F$2)*(1+0.05)/('02_Income_Raw'!F$2)))))-(('02_Income_Raw'!F$6)*(1+0.05)))*(('02_Income_Raw'!F$16)/('02_Income_Raw'!F$9))),0)</f>
        <v/>
      </c>
      <c r="G6">
        <f>IFERROR(IF(('02_Income_Raw'!F$9)=0,(((('02_Income_Raw'!F$2)*(1+0.1))-(('02_Income_Raw'!F$4)*(IF(('02_Income_Raw'!F$2)=0,1,('02_Income_Raw'!F$2)*(1+0.1)/('02_Income_Raw'!F$2)))))-(('02_Income_Raw'!F$6)*(1+0.05)))*0.75,(((('02_Income_Raw'!F$2)*(1+0.1))-(('02_Income_Raw'!F$4)*(IF(('02_Income_Raw'!F$2)=0,1,('02_Income_Raw'!F$2)*(1+0.1)/('02_Income_Raw'!F$2)))))-(('02_Income_Raw'!F$6)*(1+0.05)))*(('02_Income_Raw'!F$16)/('02_Income_Raw'!F$9))),0)</f>
        <v/>
      </c>
      <c r="H6">
        <f>IFERROR(IF(('02_Income_Raw'!F$9)=0,(((('02_Income_Raw'!F$2)*(1+0.15))-(('02_Income_Raw'!F$4)*(IF(('02_Income_Raw'!F$2)=0,1,('02_Income_Raw'!F$2)*(1+0.15)/('02_Income_Raw'!F$2)))))-(('02_Income_Raw'!F$6)*(1+0.05)))*0.75,(((('02_Income_Raw'!F$2)*(1+0.15))-(('02_Income_Raw'!F$4)*(IF(('02_Income_Raw'!F$2)=0,1,('02_Income_Raw'!F$2)*(1+0.15)/('02_Income_Raw'!F$2)))))-(('02_Income_Raw'!F$6)*(1+0.05)))*(('02_Income_Raw'!F$16)/('02_Income_Raw'!F$9))),0)</f>
        <v/>
      </c>
    </row>
    <row r="7">
      <c r="A7" t="inlineStr">
        <is>
          <t>+10%</t>
        </is>
      </c>
      <c r="B7">
        <f>IFERROR(IF(('02_Income_Raw'!F$9)=0,(((('02_Income_Raw'!F$2)*(1+-0.15))-(('02_Income_Raw'!F$4)*(IF(('02_Income_Raw'!F$2)=0,1,('02_Income_Raw'!F$2)*(1+-0.15)/('02_Income_Raw'!F$2)))))-(('02_Income_Raw'!F$6)*(1+0.1)))*0.75,(((('02_Income_Raw'!F$2)*(1+-0.15))-(('02_Income_Raw'!F$4)*(IF(('02_Income_Raw'!F$2)=0,1,('02_Income_Raw'!F$2)*(1+-0.15)/('02_Income_Raw'!F$2)))))-(('02_Income_Raw'!F$6)*(1+0.1)))*(('02_Income_Raw'!F$16)/('02_Income_Raw'!F$9))),0)</f>
        <v/>
      </c>
      <c r="C7">
        <f>IFERROR(IF(('02_Income_Raw'!F$9)=0,(((('02_Income_Raw'!F$2)*(1+-0.1))-(('02_Income_Raw'!F$4)*(IF(('02_Income_Raw'!F$2)=0,1,('02_Income_Raw'!F$2)*(1+-0.1)/('02_Income_Raw'!F$2)))))-(('02_Income_Raw'!F$6)*(1+0.1)))*0.75,(((('02_Income_Raw'!F$2)*(1+-0.1))-(('02_Income_Raw'!F$4)*(IF(('02_Income_Raw'!F$2)=0,1,('02_Income_Raw'!F$2)*(1+-0.1)/('02_Income_Raw'!F$2)))))-(('02_Income_Raw'!F$6)*(1+0.1)))*(('02_Income_Raw'!F$16)/('02_Income_Raw'!F$9))),0)</f>
        <v/>
      </c>
      <c r="D7">
        <f>IFERROR(IF(('02_Income_Raw'!F$9)=0,(((('02_Income_Raw'!F$2)*(1+-0.05))-(('02_Income_Raw'!F$4)*(IF(('02_Income_Raw'!F$2)=0,1,('02_Income_Raw'!F$2)*(1+-0.05)/('02_Income_Raw'!F$2)))))-(('02_Income_Raw'!F$6)*(1+0.1)))*0.75,(((('02_Income_Raw'!F$2)*(1+-0.05))-(('02_Income_Raw'!F$4)*(IF(('02_Income_Raw'!F$2)=0,1,('02_Income_Raw'!F$2)*(1+-0.05)/('02_Income_Raw'!F$2)))))-(('02_Income_Raw'!F$6)*(1+0.1)))*(('02_Income_Raw'!F$16)/('02_Income_Raw'!F$9))),0)</f>
        <v/>
      </c>
      <c r="E7">
        <f>IFERROR(IF(('02_Income_Raw'!F$9)=0,(((('02_Income_Raw'!F$2)*(1+0.0))-(('02_Income_Raw'!F$4)*(IF(('02_Income_Raw'!F$2)=0,1,('02_Income_Raw'!F$2)*(1+0.0)/('02_Income_Raw'!F$2)))))-(('02_Income_Raw'!F$6)*(1+0.1)))*0.75,(((('02_Income_Raw'!F$2)*(1+0.0))-(('02_Income_Raw'!F$4)*(IF(('02_Income_Raw'!F$2)=0,1,('02_Income_Raw'!F$2)*(1+0.0)/('02_Income_Raw'!F$2)))))-(('02_Income_Raw'!F$6)*(1+0.1)))*(('02_Income_Raw'!F$16)/('02_Income_Raw'!F$9))),0)</f>
        <v/>
      </c>
      <c r="F7">
        <f>IFERROR(IF(('02_Income_Raw'!F$9)=0,(((('02_Income_Raw'!F$2)*(1+0.05))-(('02_Income_Raw'!F$4)*(IF(('02_Income_Raw'!F$2)=0,1,('02_Income_Raw'!F$2)*(1+0.05)/('02_Income_Raw'!F$2)))))-(('02_Income_Raw'!F$6)*(1+0.1)))*0.75,(((('02_Income_Raw'!F$2)*(1+0.05))-(('02_Income_Raw'!F$4)*(IF(('02_Income_Raw'!F$2)=0,1,('02_Income_Raw'!F$2)*(1+0.05)/('02_Income_Raw'!F$2)))))-(('02_Income_Raw'!F$6)*(1+0.1)))*(('02_Income_Raw'!F$16)/('02_Income_Raw'!F$9))),0)</f>
        <v/>
      </c>
      <c r="G7">
        <f>IFERROR(IF(('02_Income_Raw'!F$9)=0,(((('02_Income_Raw'!F$2)*(1+0.1))-(('02_Income_Raw'!F$4)*(IF(('02_Income_Raw'!F$2)=0,1,('02_Income_Raw'!F$2)*(1+0.1)/('02_Income_Raw'!F$2)))))-(('02_Income_Raw'!F$6)*(1+0.1)))*0.75,(((('02_Income_Raw'!F$2)*(1+0.1))-(('02_Income_Raw'!F$4)*(IF(('02_Income_Raw'!F$2)=0,1,('02_Income_Raw'!F$2)*(1+0.1)/('02_Income_Raw'!F$2)))))-(('02_Income_Raw'!F$6)*(1+0.1)))*(('02_Income_Raw'!F$16)/('02_Income_Raw'!F$9))),0)</f>
        <v/>
      </c>
      <c r="H7">
        <f>IFERROR(IF(('02_Income_Raw'!F$9)=0,(((('02_Income_Raw'!F$2)*(1+0.15))-(('02_Income_Raw'!F$4)*(IF(('02_Income_Raw'!F$2)=0,1,('02_Income_Raw'!F$2)*(1+0.15)/('02_Income_Raw'!F$2)))))-(('02_Income_Raw'!F$6)*(1+0.1)))*0.75,(((('02_Income_Raw'!F$2)*(1+0.15))-(('02_Income_Raw'!F$4)*(IF(('02_Income_Raw'!F$2)=0,1,('02_Income_Raw'!F$2)*(1+0.15)/('02_Income_Raw'!F$2)))))-(('02_Income_Raw'!F$6)*(1+0.1)))*(('02_Income_Raw'!F$16)/('02_Income_Raw'!F$9))),0)</f>
        <v/>
      </c>
    </row>
    <row r="8">
      <c r="A8" t="inlineStr">
        <is>
          <t>+15%</t>
        </is>
      </c>
      <c r="B8">
        <f>IFERROR(IF(('02_Income_Raw'!F$9)=0,(((('02_Income_Raw'!F$2)*(1+-0.15))-(('02_Income_Raw'!F$4)*(IF(('02_Income_Raw'!F$2)=0,1,('02_Income_Raw'!F$2)*(1+-0.15)/('02_Income_Raw'!F$2)))))-(('02_Income_Raw'!F$6)*(1+0.15)))*0.75,(((('02_Income_Raw'!F$2)*(1+-0.15))-(('02_Income_Raw'!F$4)*(IF(('02_Income_Raw'!F$2)=0,1,('02_Income_Raw'!F$2)*(1+-0.15)/('02_Income_Raw'!F$2)))))-(('02_Income_Raw'!F$6)*(1+0.15)))*(('02_Income_Raw'!F$16)/('02_Income_Raw'!F$9))),0)</f>
        <v/>
      </c>
      <c r="C8">
        <f>IFERROR(IF(('02_Income_Raw'!F$9)=0,(((('02_Income_Raw'!F$2)*(1+-0.1))-(('02_Income_Raw'!F$4)*(IF(('02_Income_Raw'!F$2)=0,1,('02_Income_Raw'!F$2)*(1+-0.1)/('02_Income_Raw'!F$2)))))-(('02_Income_Raw'!F$6)*(1+0.15)))*0.75,(((('02_Income_Raw'!F$2)*(1+-0.1))-(('02_Income_Raw'!F$4)*(IF(('02_Income_Raw'!F$2)=0,1,('02_Income_Raw'!F$2)*(1+-0.1)/('02_Income_Raw'!F$2)))))-(('02_Income_Raw'!F$6)*(1+0.15)))*(('02_Income_Raw'!F$16)/('02_Income_Raw'!F$9))),0)</f>
        <v/>
      </c>
      <c r="D8">
        <f>IFERROR(IF(('02_Income_Raw'!F$9)=0,(((('02_Income_Raw'!F$2)*(1+-0.05))-(('02_Income_Raw'!F$4)*(IF(('02_Income_Raw'!F$2)=0,1,('02_Income_Raw'!F$2)*(1+-0.05)/('02_Income_Raw'!F$2)))))-(('02_Income_Raw'!F$6)*(1+0.15)))*0.75,(((('02_Income_Raw'!F$2)*(1+-0.05))-(('02_Income_Raw'!F$4)*(IF(('02_Income_Raw'!F$2)=0,1,('02_Income_Raw'!F$2)*(1+-0.05)/('02_Income_Raw'!F$2)))))-(('02_Income_Raw'!F$6)*(1+0.15)))*(('02_Income_Raw'!F$16)/('02_Income_Raw'!F$9))),0)</f>
        <v/>
      </c>
      <c r="E8">
        <f>IFERROR(IF(('02_Income_Raw'!F$9)=0,(((('02_Income_Raw'!F$2)*(1+0.0))-(('02_Income_Raw'!F$4)*(IF(('02_Income_Raw'!F$2)=0,1,('02_Income_Raw'!F$2)*(1+0.0)/('02_Income_Raw'!F$2)))))-(('02_Income_Raw'!F$6)*(1+0.15)))*0.75,(((('02_Income_Raw'!F$2)*(1+0.0))-(('02_Income_Raw'!F$4)*(IF(('02_Income_Raw'!F$2)=0,1,('02_Income_Raw'!F$2)*(1+0.0)/('02_Income_Raw'!F$2)))))-(('02_Income_Raw'!F$6)*(1+0.15)))*(('02_Income_Raw'!F$16)/('02_Income_Raw'!F$9))),0)</f>
        <v/>
      </c>
      <c r="F8">
        <f>IFERROR(IF(('02_Income_Raw'!F$9)=0,(((('02_Income_Raw'!F$2)*(1+0.05))-(('02_Income_Raw'!F$4)*(IF(('02_Income_Raw'!F$2)=0,1,('02_Income_Raw'!F$2)*(1+0.05)/('02_Income_Raw'!F$2)))))-(('02_Income_Raw'!F$6)*(1+0.15)))*0.75,(((('02_Income_Raw'!F$2)*(1+0.05))-(('02_Income_Raw'!F$4)*(IF(('02_Income_Raw'!F$2)=0,1,('02_Income_Raw'!F$2)*(1+0.05)/('02_Income_Raw'!F$2)))))-(('02_Income_Raw'!F$6)*(1+0.15)))*(('02_Income_Raw'!F$16)/('02_Income_Raw'!F$9))),0)</f>
        <v/>
      </c>
      <c r="G8">
        <f>IFERROR(IF(('02_Income_Raw'!F$9)=0,(((('02_Income_Raw'!F$2)*(1+0.1))-(('02_Income_Raw'!F$4)*(IF(('02_Income_Raw'!F$2)=0,1,('02_Income_Raw'!F$2)*(1+0.1)/('02_Income_Raw'!F$2)))))-(('02_Income_Raw'!F$6)*(1+0.15)))*0.75,(((('02_Income_Raw'!F$2)*(1+0.1))-(('02_Income_Raw'!F$4)*(IF(('02_Income_Raw'!F$2)=0,1,('02_Income_Raw'!F$2)*(1+0.1)/('02_Income_Raw'!F$2)))))-(('02_Income_Raw'!F$6)*(1+0.15)))*(('02_Income_Raw'!F$16)/('02_Income_Raw'!F$9))),0)</f>
        <v/>
      </c>
      <c r="H8">
        <f>IFERROR(IF(('02_Income_Raw'!F$9)=0,(((('02_Income_Raw'!F$2)*(1+0.15))-(('02_Income_Raw'!F$4)*(IF(('02_Income_Raw'!F$2)=0,1,('02_Income_Raw'!F$2)*(1+0.15)/('02_Income_Raw'!F$2)))))-(('02_Income_Raw'!F$6)*(1+0.15)))*0.75,(((('02_Income_Raw'!F$2)*(1+0.15))-(('02_Income_Raw'!F$4)*(IF(('02_Income_Raw'!F$2)=0,1,('02_Income_Raw'!F$2)*(1+0.15)/('02_Income_Raw'!F$2)))))-(('02_Income_Raw'!F$6)*(1+0.15)))*(('02_Income_Raw'!F$16)/('02_Income_Raw'!F$9))),0)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</t>
        </is>
      </c>
      <c r="B1" t="inlineStr">
        <is>
          <t>Low Case</t>
        </is>
      </c>
      <c r="C1" t="inlineStr">
        <is>
          <t>High Case</t>
        </is>
      </c>
      <c r="D1" t="inlineStr">
        <is>
          <t>Base</t>
        </is>
      </c>
      <c r="E1" t="inlineStr">
        <is>
          <t>Range</t>
        </is>
      </c>
    </row>
    <row r="2">
      <c r="A2" t="inlineStr">
        <is>
          <t>Total Revenue</t>
        </is>
      </c>
      <c r="B2">
        <f>IFERROR(IF(('02_Income_Raw'!F$9)=0,(((('02_Income_Raw'!F$2)*(1-'15a_Assumptions'!$B$13))-(('02_Income_Raw'!F$4)*(IF(('02_Income_Raw'!F$2)=0,1,('02_Income_Raw'!F$2)*(1-'15a_Assumptions'!$B$13)/('02_Income_Raw'!F$2)))))-('02_Income_Raw'!F$6))*0.75,(((('02_Income_Raw'!F$2)*(1-'15a_Assumptions'!$B$13))-(('02_Income_Raw'!F$4)*(IF(('02_Income_Raw'!F$2)=0,1,('02_Income_Raw'!F$2)*(1-'15a_Assumptions'!$B$13)/('02_Income_Raw'!F$2)))))-('02_Income_Raw'!F$6))*(('02_Income_Raw'!F$16)/('02_Income_Raw'!F$9))),0)</f>
        <v/>
      </c>
      <c r="C2">
        <f>IFERROR(IF(('02_Income_Raw'!F$9)=0,(((('02_Income_Raw'!F$2)*(1+'15a_Assumptions'!$B$13))-(('02_Income_Raw'!F$4)*(IF(('02_Income_Raw'!F$2)=0,1,('02_Income_Raw'!F$2)*(1+'15a_Assumptions'!$B$13)/('02_Income_Raw'!F$2)))))-('02_Income_Raw'!F$6))*0.75,(((('02_Income_Raw'!F$2)*(1+'15a_Assumptions'!$B$13))-(('02_Income_Raw'!F$4)*(IF(('02_Income_Raw'!F$2)=0,1,('02_Income_Raw'!F$2)*(1+'15a_Assumptions'!$B$13)/('02_Income_Raw'!F$2)))))-('02_Income_Raw'!F$6))*(('02_Income_Raw'!F$16)/('02_Income_Raw'!F$9))),0)</f>
        <v/>
      </c>
      <c r="D2">
        <f>IFERROR('02_Income_Raw'!F$16,0)</f>
        <v/>
      </c>
      <c r="E2">
        <f>IFERROR(ABS(C2-B2),0)</f>
        <v/>
      </c>
    </row>
    <row r="3">
      <c r="A3" t="inlineStr">
        <is>
          <t>Cost Of Revenue</t>
        </is>
      </c>
      <c r="B3">
        <f>IFERROR(IF(('02_Income_Raw'!F$9)=0,(('02_Income_Raw'!F$2)-(('02_Income_Raw'!F$4)*(1+'15a_Assumptions'!$B$13))-('02_Income_Raw'!F$6))*0.75,(('02_Income_Raw'!F$2)-(('02_Income_Raw'!F$4)*(1+'15a_Assumptions'!$B$13))-('02_Income_Raw'!F$6))*(('02_Income_Raw'!F$16)/('02_Income_Raw'!F$9))),0)</f>
        <v/>
      </c>
      <c r="C3">
        <f>IFERROR(IF(('02_Income_Raw'!F$9)=0,(('02_Income_Raw'!F$2)-(('02_Income_Raw'!F$4)*(1-'15a_Assumptions'!$B$13))-('02_Income_Raw'!F$6))*0.75,(('02_Income_Raw'!F$2)-(('02_Income_Raw'!F$4)*(1-'15a_Assumptions'!$B$13))-('02_Income_Raw'!F$6))*(('02_Income_Raw'!F$16)/('02_Income_Raw'!F$9))),0)</f>
        <v/>
      </c>
      <c r="D3">
        <f>IFERROR('02_Income_Raw'!F$16,0)</f>
        <v/>
      </c>
      <c r="E3">
        <f>IFERROR(ABS(C3-B3),0)</f>
        <v/>
      </c>
    </row>
    <row r="4">
      <c r="A4" t="inlineStr">
        <is>
          <t>Operating Expense</t>
        </is>
      </c>
      <c r="B4">
        <f>IFERROR(IF(('02_Income_Raw'!F$9)=0,(('02_Income_Raw'!F$5)-(('02_Income_Raw'!F$6)*(1+'15a_Assumptions'!$B$13)))*0.75,(('02_Income_Raw'!F$5)-(('02_Income_Raw'!F$6)*(1+'15a_Assumptions'!$B$13)))*(('02_Income_Raw'!F$16)/('02_Income_Raw'!F$9))),0)</f>
        <v/>
      </c>
      <c r="C4">
        <f>IFERROR(IF(('02_Income_Raw'!F$9)=0,(('02_Income_Raw'!F$5)-(('02_Income_Raw'!F$6)*(1-'15a_Assumptions'!$B$13)))*0.75,(('02_Income_Raw'!F$5)-(('02_Income_Raw'!F$6)*(1-'15a_Assumptions'!$B$13)))*(('02_Income_Raw'!F$16)/('02_Income_Raw'!F$9))),0)</f>
        <v/>
      </c>
      <c r="D4">
        <f>IFERROR('02_Income_Raw'!F$16,0)</f>
        <v/>
      </c>
      <c r="E4">
        <f>IFERROR(ABS(C4-B4),0)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t="inlineStr">
        <is>
          <t>Section</t>
        </is>
      </c>
      <c r="B1" t="inlineStr">
        <is>
          <t>Narrative</t>
        </is>
      </c>
    </row>
    <row r="2">
      <c r="A2" t="inlineStr">
        <is>
          <t>Executive Overview</t>
        </is>
      </c>
      <c r="B2" t="inlineStr">
        <is>
          <t>This report presents a corporate finance FP&amp;A analysis of Tesla, Inc. (TSLA), covering the period 2021–2025. In 2025, the company reported revenue of $94.83B (-2.9% YoY) and net income of $3.79B, with a net margin of 4.0%. The analysis integrates P&amp;L trends, cash flow quality, working capital efficiency, budget variance, forward forecasts, and sensitivity testing to support management-style financial planning and decision-making.</t>
        </is>
      </c>
    </row>
    <row r="3">
      <c r="A3" t="inlineStr">
        <is>
          <t>P&amp;L Performance</t>
        </is>
      </c>
      <c r="B3" t="inlineStr">
        <is>
          <t>Gross margin expanded from 17.9% to 18.0% (+0.2pp), while operating margin stood at 5.1% in 2025. The year-over-year net income bridge (2024 → 2025) shows a total change of $-3.34B, driven primarily by revenue volume ($-511.4M), margin/mix ($155.4M), and operating expense ($-2.56B).</t>
        </is>
      </c>
    </row>
    <row r="4">
      <c r="A4" t="inlineStr">
        <is>
          <t>Cash Flow &amp; Liquidity</t>
        </is>
      </c>
      <c r="B4" t="inlineStr">
        <is>
          <t>In 2025, operating cash flow reached $14.75B with free cash flow of $6.22B (FCF margin: 6.6%). The OCF-to-net-income ratio of 3.89x indicates strong earnings quality — cash generation comfortably exceeds reported profits. CapEx intensity was 9.0% of revenue, reflecting continued capital investment in the business.</t>
        </is>
      </c>
    </row>
    <row r="5">
      <c r="A5" t="inlineStr">
        <is>
          <t>Working Capital &amp; Capital Structure</t>
        </is>
      </c>
      <c r="B5" t="inlineStr">
        <is>
          <t>Return on equity was 4.6% and ROIC was 5.4% in 2025. DuPont decomposition shows net margin of 4.0%, asset turnover of 0.69x, and equity multiplier of 1.68x. Working capital efficiency: cash conversion cycle of 13 days (DSO 18d, DIO 58d, DPO 63d). Capital structure remains conservative with net debt/EBITDA at -0.15x and interest coverage of 14.3x, indicating ample debt service capacity.</t>
        </is>
      </c>
    </row>
    <row r="6">
      <c r="A6" t="inlineStr">
        <is>
          <t>Budget vs Actual</t>
        </is>
      </c>
      <c r="B6" t="inlineStr">
        <is>
          <t>Compared to the forward budget built on historical CAGR assumptions, 2025 actuals underperformed across all key metrics. Revenue missed budget by -13.3% and net income by -57.0%, classified as unfavorable variance. The largest gap was in operating income, suggesting margin compression and cost overruns relative to plan were the primary drivers of the budget shortfall.</t>
        </is>
      </c>
    </row>
    <row r="7">
      <c r="A7" t="inlineStr">
        <is>
          <t>Forecast Outlook</t>
        </is>
      </c>
      <c r="B7" t="inlineStr">
        <is>
          <t>Base-case revenue forecast projects $119.84B by 2028, using exponential smoothing on historical trends. Scenario analysis ranges from $81.30B (bear) to $185.21B (bull), providing a +86.7% planning bandwidth for strategic and budgeting decisions.</t>
        </is>
      </c>
    </row>
    <row r="8">
      <c r="A8" t="inlineStr">
        <is>
          <t>Sensitivity &amp; Key Risks</t>
        </is>
      </c>
      <c r="B8" t="inlineStr">
        <is>
          <t>Sensitivity analysis (±10% driver changes) identifies Cost Of Revenue as the highest-impact variable on net income, with an impact range of $12.16B. Total Revenue ranks second at $2.56B. FP&amp;A teams should prioritize these drivers in scenario planning and management reporting.</t>
        </is>
      </c>
    </row>
    <row r="9">
      <c r="A9" t="inlineStr">
        <is>
          <t>Conclusion</t>
        </is>
      </c>
      <c r="B9" t="inlineStr">
        <is>
          <t>Tesla, Inc. faces growth deceleration and margin pressure in the current cycle, yet maintains positive free cash flow and a strong balance sheet. Key FP&amp;A priorities include: (1) monitoring gross margin trends and cost discipline, (2) optimizing working capital as CCC extends, (3) recalibrating budgets to reflect actual performance gaps, and (4) stress-testing forecasts against revenue and COGS sensitivities. This analysis framework is replicable across any public company using standardized Yahoo Finance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2026-06-18T04:02:32Z</dcterms:created>
  <dcterms:modified xmlns:dcterms="http://purl.org/dc/terms/" xmlns:xsi="http://www.w3.org/2001/XMLSchema-instance" xsi:type="dcterms:W3CDTF">2026-06-18T04:02:32Z</dcterms:modified>
</cp:coreProperties>
</file>